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aveExternalLinkValues="0" codeName="ThisWorkbook"/>
  <mc:AlternateContent xmlns:mc="http://schemas.openxmlformats.org/markup-compatibility/2006">
    <mc:Choice Requires="x15">
      <x15ac:absPath xmlns:x15ac="http://schemas.microsoft.com/office/spreadsheetml/2010/11/ac" url="C:\Users\spetr\Desktop\Uni\Economics\Tesi\Scripts_sec\IRS Soi\clean\"/>
    </mc:Choice>
  </mc:AlternateContent>
  <xr:revisionPtr revIDLastSave="0" documentId="8_{D8345B48-433F-43FD-B8B8-86EFDF4F31F9}" xr6:coauthVersionLast="47" xr6:coauthVersionMax="47" xr10:uidLastSave="{00000000-0000-0000-0000-000000000000}"/>
  <bookViews>
    <workbookView xWindow="-108" yWindow="-108" windowWidth="23256" windowHeight="12456" xr2:uid="{869CDED5-5E7E-47A1-BF16-331C4217D486}"/>
  </bookViews>
  <sheets>
    <sheet name="CRTAB6" sheetId="3" r:id="rId1"/>
  </sheets>
  <definedNames>
    <definedName name="_Parse_In" localSheetId="0" hidden="1">CRTAB6!$A$15:$K$90</definedName>
    <definedName name="_Parse_Out" localSheetId="0" hidden="1">CRTAB6!$A$15</definedName>
    <definedName name="all" localSheetId="0">CRTAB6!$A$1:$CA$90</definedName>
    <definedName name="all">#REF!</definedName>
    <definedName name="_xlnm.Print_Area" localSheetId="0">CRTAB6!$A$1:$CR$90</definedName>
    <definedName name="column_headings" localSheetId="0">CRTAB6!$A$6:$CA$12</definedName>
    <definedName name="column_headings">#REF!</definedName>
    <definedName name="column_numbers" localSheetId="0">CRTAB6!$B$14:$CA$14</definedName>
    <definedName name="column_numbers">#REF!</definedName>
    <definedName name="data" localSheetId="0">CRTAB6!$B$15:$CA$88</definedName>
    <definedName name="data">#REF!</definedName>
    <definedName name="footnotes" localSheetId="0">CRTAB6!#REF!</definedName>
    <definedName name="footnotes">#REF!</definedName>
    <definedName name="SelectArea" localSheetId="0">CRTAB6!$B$15:$CA$88</definedName>
    <definedName name="SelectArea">#REF!</definedName>
    <definedName name="solver_opt" localSheetId="0" hidden="1">CRTAB6!#REF!</definedName>
    <definedName name="spaces" localSheetId="0">CRTAB6!$17:$17,CRTAB6!$27:$27,CRTAB6!$36:$36,CRTAB6!$42:$42,CRTAB6!$47:$47,CRTAB6!$59:$59,CRTAB6!$65:$65,CRTAB6!$70:$70,CRTAB6!$77:$77,CRTAB6!$81:$81,CRTAB6!#REF!</definedName>
    <definedName name="spaces">#REF!,#REF!,#REF!,#REF!,#REF!,#REF!,#REF!,#REF!,#REF!,#REF!,#REF!</definedName>
    <definedName name="spanners" localSheetId="0">CRTAB6!$D$6:$H$6</definedName>
    <definedName name="spanners">#REF!</definedName>
    <definedName name="stub_lines" localSheetId="0">CRTAB6!$A$14:$A$88</definedName>
    <definedName name="stub_lines">#REF!</definedName>
    <definedName name="titles" localSheetId="0">CRTAB6!$A$2:$A$4</definedName>
    <definedName name="titles">#REF!</definedName>
    <definedName name="totals" localSheetId="0">CRTAB6!$15:$16,CRTAB6!$35:$35,CRTAB6!$46:$46,CRTAB6!$58:$58</definedName>
    <definedName name="totals">#REF!,#REF!,#REF!,#REF!</definedName>
  </definedNames>
  <calcPr calcId="191029" fullCalcOnLoad="1"/>
</workbook>
</file>

<file path=xl/calcChain.xml><?xml version="1.0" encoding="utf-8"?>
<calcChain xmlns="http://schemas.openxmlformats.org/spreadsheetml/2006/main">
  <c r="BP14" i="3" l="1"/>
  <c r="BQ14" i="3"/>
  <c r="BR14" i="3"/>
  <c r="BS14" i="3"/>
  <c r="BT14" i="3"/>
  <c r="BU14" i="3"/>
  <c r="BV14" i="3"/>
  <c r="BW14" i="3"/>
  <c r="BX14" i="3" s="1"/>
  <c r="BY14" i="3" s="1"/>
  <c r="BZ14" i="3" s="1"/>
  <c r="CA14" i="3" s="1"/>
  <c r="CB14" i="3" s="1"/>
  <c r="CC14" i="3" s="1"/>
  <c r="CD14" i="3" s="1"/>
  <c r="CE14" i="3" s="1"/>
  <c r="CF14" i="3" s="1"/>
  <c r="CG14" i="3" s="1"/>
  <c r="CH14" i="3" s="1"/>
  <c r="CI14" i="3" s="1"/>
  <c r="CJ14" i="3" s="1"/>
  <c r="CK14" i="3" s="1"/>
  <c r="CL14" i="3" s="1"/>
  <c r="CM14" i="3" s="1"/>
  <c r="CN14" i="3" s="1"/>
  <c r="CO14" i="3" s="1"/>
  <c r="CP14" i="3" s="1"/>
  <c r="CQ14" i="3" s="1"/>
  <c r="CR14" i="3" s="1"/>
</calcChain>
</file>

<file path=xl/sharedStrings.xml><?xml version="1.0" encoding="utf-8"?>
<sst xmlns="http://schemas.openxmlformats.org/spreadsheetml/2006/main" count="420" uniqueCount="312">
  <si>
    <t>trade not</t>
  </si>
  <si>
    <t xml:space="preserve">and retail </t>
  </si>
  <si>
    <t>(except</t>
  </si>
  <si>
    <t>(including paging,</t>
  </si>
  <si>
    <t>other financial</t>
  </si>
  <si>
    <t>investments,</t>
  </si>
  <si>
    <t>Funds,</t>
  </si>
  <si>
    <t>trusts,</t>
  </si>
  <si>
    <t xml:space="preserve">    Endnotes at end of table section.  Detail may not add to total because of rounding.  See text for "Explanation of Terms" and "Description of the Sample and Limitations of the Data."</t>
  </si>
  <si>
    <t>and related</t>
  </si>
  <si>
    <t>Manufacturing</t>
  </si>
  <si>
    <t>General</t>
  </si>
  <si>
    <t>Miscellaneous</t>
  </si>
  <si>
    <t>Item</t>
  </si>
  <si>
    <t>All</t>
  </si>
  <si>
    <t>Nonmetallic</t>
  </si>
  <si>
    <t>Petroleum</t>
  </si>
  <si>
    <t>Electrical</t>
  </si>
  <si>
    <t>Transportation</t>
  </si>
  <si>
    <t>Health care and social assistance</t>
  </si>
  <si>
    <t>Real estate and rental and leasing</t>
  </si>
  <si>
    <t>Finance and insurance</t>
  </si>
  <si>
    <t>Transportation and warehousing</t>
  </si>
  <si>
    <t>Retail trade</t>
  </si>
  <si>
    <t>Wholesale trade</t>
  </si>
  <si>
    <t>Agriculture, forestry, fishing, and hunting</t>
  </si>
  <si>
    <t>Food,</t>
  </si>
  <si>
    <t>transportation</t>
  </si>
  <si>
    <t>and fishing,</t>
  </si>
  <si>
    <t>Truck</t>
  </si>
  <si>
    <t>manufacturing</t>
  </si>
  <si>
    <t>component</t>
  </si>
  <si>
    <t>products</t>
  </si>
  <si>
    <t xml:space="preserve">    Depreciable assets [25]..</t>
  </si>
  <si>
    <t xml:space="preserve">        Less: Accumulated depreciation [25]..</t>
  </si>
  <si>
    <t xml:space="preserve">    Retained earnings, unappropriated [26]..</t>
  </si>
  <si>
    <t>Total income tax before credits [7]...</t>
  </si>
  <si>
    <t>Total income tax after credits [2]..</t>
  </si>
  <si>
    <t>and liquor</t>
  </si>
  <si>
    <t>and similar</t>
  </si>
  <si>
    <t>(All figures are estimates based on samples--money amounts are in thousands of dollars)</t>
  </si>
  <si>
    <t>Mining</t>
  </si>
  <si>
    <t>Construction</t>
  </si>
  <si>
    <t>Building</t>
  </si>
  <si>
    <t>Furniture</t>
  </si>
  <si>
    <t>Wholesale</t>
  </si>
  <si>
    <t>Credit</t>
  </si>
  <si>
    <t>Insurance</t>
  </si>
  <si>
    <t>Textile</t>
  </si>
  <si>
    <t>Primary</t>
  </si>
  <si>
    <t>and</t>
  </si>
  <si>
    <t>Personal</t>
  </si>
  <si>
    <t>Other</t>
  </si>
  <si>
    <t xml:space="preserve">      </t>
  </si>
  <si>
    <t>Support</t>
  </si>
  <si>
    <t>Agricultural</t>
  </si>
  <si>
    <t xml:space="preserve">Forestry </t>
  </si>
  <si>
    <t>Utilities</t>
  </si>
  <si>
    <t xml:space="preserve">and </t>
  </si>
  <si>
    <t>Sporting</t>
  </si>
  <si>
    <t>Securities,</t>
  </si>
  <si>
    <t>Administrative</t>
  </si>
  <si>
    <t>Offices of</t>
  </si>
  <si>
    <t>Religious,</t>
  </si>
  <si>
    <t>Motor</t>
  </si>
  <si>
    <t>Clothing</t>
  </si>
  <si>
    <t>Motion</t>
  </si>
  <si>
    <t>Professional,</t>
  </si>
  <si>
    <t>Management</t>
  </si>
  <si>
    <t>Waste</t>
  </si>
  <si>
    <t>Hospitals,</t>
  </si>
  <si>
    <t>Accommodation and food services</t>
  </si>
  <si>
    <t>merchandise</t>
  </si>
  <si>
    <t>store</t>
  </si>
  <si>
    <t>retailers</t>
  </si>
  <si>
    <t>allocable</t>
  </si>
  <si>
    <t>Air, rail,</t>
  </si>
  <si>
    <t>and water</t>
  </si>
  <si>
    <t>and ground</t>
  </si>
  <si>
    <t>passenger</t>
  </si>
  <si>
    <t>storage</t>
  </si>
  <si>
    <t>picture</t>
  </si>
  <si>
    <t>and sound</t>
  </si>
  <si>
    <t>recording</t>
  </si>
  <si>
    <t>services</t>
  </si>
  <si>
    <t>commodity</t>
  </si>
  <si>
    <t>contracts,</t>
  </si>
  <si>
    <t>and other</t>
  </si>
  <si>
    <t>financial</t>
  </si>
  <si>
    <t>carriers</t>
  </si>
  <si>
    <t>vehicles</t>
  </si>
  <si>
    <t>Real estate</t>
  </si>
  <si>
    <t>leasing</t>
  </si>
  <si>
    <t>nonfinancial</t>
  </si>
  <si>
    <t>intangible</t>
  </si>
  <si>
    <t>assets</t>
  </si>
  <si>
    <t>scientific,</t>
  </si>
  <si>
    <t>technical</t>
  </si>
  <si>
    <t>companies</t>
  </si>
  <si>
    <t>(holding</t>
  </si>
  <si>
    <t>companies)</t>
  </si>
  <si>
    <t>and support</t>
  </si>
  <si>
    <t>management</t>
  </si>
  <si>
    <t>remediation</t>
  </si>
  <si>
    <t>health</t>
  </si>
  <si>
    <t>practitioners</t>
  </si>
  <si>
    <t>outpatient</t>
  </si>
  <si>
    <t>care centers</t>
  </si>
  <si>
    <t>care and</t>
  </si>
  <si>
    <t>social</t>
  </si>
  <si>
    <t>assistance</t>
  </si>
  <si>
    <t>nursing, and</t>
  </si>
  <si>
    <t>residential</t>
  </si>
  <si>
    <t>facilities</t>
  </si>
  <si>
    <t>Other arts,</t>
  </si>
  <si>
    <t>entertainment,</t>
  </si>
  <si>
    <t>recreation</t>
  </si>
  <si>
    <t>gambling,</t>
  </si>
  <si>
    <t>drinking</t>
  </si>
  <si>
    <t>places</t>
  </si>
  <si>
    <t>Amusement,</t>
  </si>
  <si>
    <t>Food</t>
  </si>
  <si>
    <t>Beverage</t>
  </si>
  <si>
    <t>Leather</t>
  </si>
  <si>
    <t>Plastics</t>
  </si>
  <si>
    <t>Computer</t>
  </si>
  <si>
    <t>Electronics</t>
  </si>
  <si>
    <t>Health and</t>
  </si>
  <si>
    <t>Broadcasting</t>
  </si>
  <si>
    <t>Rental</t>
  </si>
  <si>
    <t>Lessors of</t>
  </si>
  <si>
    <t>of</t>
  </si>
  <si>
    <t>Apparel</t>
  </si>
  <si>
    <t xml:space="preserve">Wood </t>
  </si>
  <si>
    <t>Paper</t>
  </si>
  <si>
    <t>Chemical</t>
  </si>
  <si>
    <t xml:space="preserve">Fabricated </t>
  </si>
  <si>
    <t>Machinery</t>
  </si>
  <si>
    <t>Gasoline</t>
  </si>
  <si>
    <t>Nonstore</t>
  </si>
  <si>
    <t>Transit</t>
  </si>
  <si>
    <t>Pipeline</t>
  </si>
  <si>
    <t>Warehousing</t>
  </si>
  <si>
    <t>Publishing</t>
  </si>
  <si>
    <t>Educational</t>
  </si>
  <si>
    <t>Accommodation</t>
  </si>
  <si>
    <t>Repair and</t>
  </si>
  <si>
    <t>Not</t>
  </si>
  <si>
    <t>Printing</t>
  </si>
  <si>
    <t>Total</t>
  </si>
  <si>
    <t>industries</t>
  </si>
  <si>
    <t>production</t>
  </si>
  <si>
    <t>logging</t>
  </si>
  <si>
    <t>hunting and</t>
  </si>
  <si>
    <t>trapping</t>
  </si>
  <si>
    <t>construction</t>
  </si>
  <si>
    <t>trade</t>
  </si>
  <si>
    <t>contractors</t>
  </si>
  <si>
    <t>tobacco</t>
  </si>
  <si>
    <t>mills</t>
  </si>
  <si>
    <t>mills and</t>
  </si>
  <si>
    <t xml:space="preserve">textile </t>
  </si>
  <si>
    <t>product</t>
  </si>
  <si>
    <t>allied</t>
  </si>
  <si>
    <t>support</t>
  </si>
  <si>
    <t>activities</t>
  </si>
  <si>
    <t>and coal</t>
  </si>
  <si>
    <t>rubber</t>
  </si>
  <si>
    <t>mineral</t>
  </si>
  <si>
    <t>metal</t>
  </si>
  <si>
    <t>electronic</t>
  </si>
  <si>
    <t>equipment,</t>
  </si>
  <si>
    <t>appliance,</t>
  </si>
  <si>
    <t>equipment</t>
  </si>
  <si>
    <t>related</t>
  </si>
  <si>
    <t>goods</t>
  </si>
  <si>
    <t>vehicle</t>
  </si>
  <si>
    <t>dealers</t>
  </si>
  <si>
    <t>and parts</t>
  </si>
  <si>
    <t>and home</t>
  </si>
  <si>
    <t>furnishings</t>
  </si>
  <si>
    <t>stores</t>
  </si>
  <si>
    <t>appliance</t>
  </si>
  <si>
    <t>material</t>
  </si>
  <si>
    <t>and garden</t>
  </si>
  <si>
    <t>and supplies</t>
  </si>
  <si>
    <t>beverage</t>
  </si>
  <si>
    <t>personal</t>
  </si>
  <si>
    <t>care</t>
  </si>
  <si>
    <t>stations</t>
  </si>
  <si>
    <t>clothing</t>
  </si>
  <si>
    <t>accessories</t>
  </si>
  <si>
    <t>goods,</t>
  </si>
  <si>
    <t>hobby,</t>
  </si>
  <si>
    <t>book, and</t>
  </si>
  <si>
    <t>music</t>
  </si>
  <si>
    <t>maintenance</t>
  </si>
  <si>
    <t>and laundry</t>
  </si>
  <si>
    <t>grantmaking,</t>
  </si>
  <si>
    <t>civic,</t>
  </si>
  <si>
    <t>professional,</t>
  </si>
  <si>
    <t>organizations</t>
  </si>
  <si>
    <t>Other services</t>
  </si>
  <si>
    <t>Arts, entertainment, and recreation</t>
  </si>
  <si>
    <t>Total assets..</t>
  </si>
  <si>
    <t xml:space="preserve">    Cash..</t>
  </si>
  <si>
    <t xml:space="preserve">    Notes and accounts receivable..</t>
  </si>
  <si>
    <t xml:space="preserve">        Less: Allowance for bad debts..</t>
  </si>
  <si>
    <t xml:space="preserve">    Inventories..</t>
  </si>
  <si>
    <t xml:space="preserve">    Investments in Government obligations..</t>
  </si>
  <si>
    <t xml:space="preserve">    Tax-exempt securities..</t>
  </si>
  <si>
    <t xml:space="preserve">    Other current assets..</t>
  </si>
  <si>
    <t xml:space="preserve">    Loans to shareholders..</t>
  </si>
  <si>
    <t xml:space="preserve">    Mortgage and real estate loans..</t>
  </si>
  <si>
    <t xml:space="preserve">    Other investments..</t>
  </si>
  <si>
    <t xml:space="preserve">    Depletable assets..</t>
  </si>
  <si>
    <t xml:space="preserve">        Less: Accumulated depletion..</t>
  </si>
  <si>
    <t xml:space="preserve">    Land..</t>
  </si>
  <si>
    <t xml:space="preserve">    Intangible assets (amortizable)..</t>
  </si>
  <si>
    <t xml:space="preserve">        Less: Accumulated amortization..</t>
  </si>
  <si>
    <t xml:space="preserve">    Other assets..</t>
  </si>
  <si>
    <t>Total liabilities..</t>
  </si>
  <si>
    <t xml:space="preserve">    Accounts payable..</t>
  </si>
  <si>
    <t xml:space="preserve">    Other current liabilities..</t>
  </si>
  <si>
    <t xml:space="preserve">    Loans from shareholders..</t>
  </si>
  <si>
    <t xml:space="preserve">    Other liabilities..</t>
  </si>
  <si>
    <t>Total receipts..</t>
  </si>
  <si>
    <t xml:space="preserve">    Business receipts..</t>
  </si>
  <si>
    <t xml:space="preserve">    Interest..</t>
  </si>
  <si>
    <t xml:space="preserve">    Rents..</t>
  </si>
  <si>
    <t xml:space="preserve">    Royalties..</t>
  </si>
  <si>
    <t xml:space="preserve">    Net gain, noncapital assets..</t>
  </si>
  <si>
    <t xml:space="preserve">    Dividends received from domestic corporations</t>
  </si>
  <si>
    <t xml:space="preserve">    Dividends received from foreign corporations..</t>
  </si>
  <si>
    <t xml:space="preserve">    Other receipts..</t>
  </si>
  <si>
    <t>Total deductions..</t>
  </si>
  <si>
    <t xml:space="preserve">    Cost of goods sold..</t>
  </si>
  <si>
    <t xml:space="preserve">    Compensation of officers..</t>
  </si>
  <si>
    <t xml:space="preserve">    Repairs..</t>
  </si>
  <si>
    <t xml:space="preserve">    Bad debts..</t>
  </si>
  <si>
    <t xml:space="preserve">    Rent paid on business property..</t>
  </si>
  <si>
    <t xml:space="preserve">    Taxes paid..</t>
  </si>
  <si>
    <t xml:space="preserve">    Interest paid..</t>
  </si>
  <si>
    <t xml:space="preserve">    Charitable contributions..</t>
  </si>
  <si>
    <t xml:space="preserve">    Amortization..</t>
  </si>
  <si>
    <t xml:space="preserve">    Depreciation..</t>
  </si>
  <si>
    <t xml:space="preserve">    Depletion..</t>
  </si>
  <si>
    <t xml:space="preserve">    Advertising..</t>
  </si>
  <si>
    <t xml:space="preserve">    Employee benefit programs..</t>
  </si>
  <si>
    <t xml:space="preserve">    Net loss, noncapital assets..</t>
  </si>
  <si>
    <t xml:space="preserve">    Other deductions..</t>
  </si>
  <si>
    <t>Total receipts less total deductions</t>
  </si>
  <si>
    <t>Income subject to tax..</t>
  </si>
  <si>
    <t xml:space="preserve">    Income tax..</t>
  </si>
  <si>
    <t xml:space="preserve">    Alternative minimum tax..</t>
  </si>
  <si>
    <t>Foreign tax credit..</t>
  </si>
  <si>
    <t>General business credit..</t>
  </si>
  <si>
    <t>Prior year minimum tax credit..</t>
  </si>
  <si>
    <t>Net income (less deficit)</t>
  </si>
  <si>
    <t>Administrative and support and waste management and remediation services</t>
  </si>
  <si>
    <t>Number of returns..</t>
  </si>
  <si>
    <t>Durable</t>
  </si>
  <si>
    <t>Nondurable</t>
  </si>
  <si>
    <t xml:space="preserve">of </t>
  </si>
  <si>
    <t>buildings</t>
  </si>
  <si>
    <t>Heavy and</t>
  </si>
  <si>
    <t>civil</t>
  </si>
  <si>
    <t>engineering</t>
  </si>
  <si>
    <t>Specialty</t>
  </si>
  <si>
    <t>Electronic</t>
  </si>
  <si>
    <t>markets</t>
  </si>
  <si>
    <t>and brokers</t>
  </si>
  <si>
    <t xml:space="preserve"> retail trade,</t>
  </si>
  <si>
    <t>agents</t>
  </si>
  <si>
    <t>intermediation</t>
  </si>
  <si>
    <t>Telecommunications</t>
  </si>
  <si>
    <t xml:space="preserve">    Capital stock..</t>
  </si>
  <si>
    <t xml:space="preserve">    Additional paid-in capital..</t>
  </si>
  <si>
    <t xml:space="preserve">    Retained earnings, appropriated..</t>
  </si>
  <si>
    <t xml:space="preserve">        Less: Cost of treasury stock..</t>
  </si>
  <si>
    <t xml:space="preserve">RETURNS OF ACTIVE CORPORATIONS    </t>
  </si>
  <si>
    <t>Table 6--Balance Sheet, Income Statement, Tax, and Selected Other Items, by Major Industry</t>
  </si>
  <si>
    <t xml:space="preserve">    Salaries and wages..</t>
  </si>
  <si>
    <t>and land</t>
  </si>
  <si>
    <t>subdivision</t>
  </si>
  <si>
    <t>total</t>
  </si>
  <si>
    <t>Internet)</t>
  </si>
  <si>
    <t>copyrighted</t>
  </si>
  <si>
    <t>works)</t>
  </si>
  <si>
    <t>Information</t>
  </si>
  <si>
    <t xml:space="preserve">    Domestic production activities deduction</t>
  </si>
  <si>
    <t>[1]</t>
  </si>
  <si>
    <t xml:space="preserve">    Pension, profit-sharing, stock, annuity</t>
  </si>
  <si>
    <t xml:space="preserve">cellular, satellite, </t>
  </si>
  <si>
    <t>cable and internet</t>
  </si>
  <si>
    <t>service providers)</t>
  </si>
  <si>
    <t>Data processing,</t>
  </si>
  <si>
    <t>hosting, and</t>
  </si>
  <si>
    <t>services (including</t>
  </si>
  <si>
    <t>news syndicates,</t>
  </si>
  <si>
    <t>libries, and internet</t>
  </si>
  <si>
    <t>Other information</t>
  </si>
  <si>
    <t xml:space="preserve">publishing &amp; </t>
  </si>
  <si>
    <t>broadcasting)</t>
  </si>
  <si>
    <t>Wholesale and retail trade</t>
  </si>
  <si>
    <t>Tax Year 2009</t>
  </si>
  <si>
    <t xml:space="preserve">    Mortgages, notes, and bonds payable in less than one year..</t>
  </si>
  <si>
    <t xml:space="preserve">    Mortgages, notes, and bonds payable in one year or more..</t>
  </si>
  <si>
    <t xml:space="preserve">    Interest on Government obligations:  State and local..</t>
  </si>
  <si>
    <t xml:space="preserve">    Net short-term capital gain reduced by net long-term capital loss..</t>
  </si>
  <si>
    <t xml:space="preserve">    Net long-term capital gain reduced by net short-term capital loss..</t>
  </si>
  <si>
    <t>Constructive taxable income from related foreign corporations..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</si>
</sst>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2" formatCode="General_)"/>
    <numFmt numFmtId="173" formatCode="\(#,##0\)"/>
    <numFmt numFmtId="174" formatCode="@*."/>
    <numFmt numFmtId="175" formatCode="&quot;    &quot;@"/>
    <numFmt numFmtId="176" formatCode="#,##0\ ;\-#,##0\ ;\-\-\-\-\ ;@\ "/>
    <numFmt numFmtId="177" formatCode="#,##0;\-#,##0;0;@"/>
    <numFmt numFmtId="178" formatCode="&quot;*&quot;#,##0;&quot;*&quot;\-#,##0;&quot;*&quot;@"/>
  </numFmts>
  <fonts count="13" x14ac:knownFonts="1">
    <font>
      <sz val="10"/>
      <name val="courier"/>
    </font>
    <font>
      <sz val="10"/>
      <name val="MS Sans Serif"/>
      <family val="2"/>
    </font>
    <font>
      <b/>
      <sz val="10"/>
      <name val="Helvetica"/>
    </font>
    <font>
      <sz val="7"/>
      <name val="Helvetica"/>
    </font>
    <font>
      <b/>
      <sz val="7"/>
      <name val="Helvetica"/>
    </font>
    <font>
      <sz val="5"/>
      <name val="Helvetica"/>
      <family val="2"/>
    </font>
    <font>
      <sz val="6"/>
      <name val="Arial"/>
      <family val="2"/>
    </font>
    <font>
      <b/>
      <sz val="10"/>
      <name val="Arial"/>
      <family val="2"/>
    </font>
    <font>
      <sz val="5"/>
      <name val="Arial"/>
      <family val="2"/>
    </font>
    <font>
      <sz val="10"/>
      <name val="Arial"/>
      <family val="2"/>
    </font>
    <font>
      <b/>
      <sz val="8"/>
      <name val="Arial"/>
      <family val="2"/>
    </font>
    <font>
      <sz val="8"/>
      <name val="Arial"/>
      <family val="2"/>
    </font>
    <font>
      <sz val="8"/>
      <name val="Courier"/>
      <family val="3"/>
    </font>
  </fonts>
  <fills count="2">
    <fill>
      <patternFill patternType="none"/>
    </fill>
    <fill>
      <patternFill patternType="gray125"/>
    </fill>
  </fills>
  <borders count="23">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top style="double">
        <color indexed="64"/>
      </top>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top style="double">
        <color indexed="64"/>
      </top>
      <bottom/>
      <diagonal/>
    </border>
    <border>
      <left/>
      <right style="thin">
        <color indexed="64"/>
      </right>
      <top style="double">
        <color indexed="64"/>
      </top>
      <bottom/>
      <diagonal/>
    </border>
  </borders>
  <cellStyleXfs count="9">
    <xf numFmtId="172" fontId="0" fillId="0" borderId="0"/>
    <xf numFmtId="40" fontId="1" fillId="0" borderId="0" applyFont="0" applyFill="0" applyBorder="0" applyAlignment="0" applyProtection="0"/>
    <xf numFmtId="0" fontId="3" fillId="0" borderId="1">
      <alignment horizontal="center"/>
    </xf>
    <xf numFmtId="173" fontId="3" fillId="0" borderId="2">
      <alignment horizontal="center"/>
    </xf>
    <xf numFmtId="175" fontId="5" fillId="0" borderId="0">
      <alignment horizontal="left"/>
    </xf>
    <xf numFmtId="0" fontId="3" fillId="0" borderId="3" applyBorder="0">
      <alignment horizontal="centerContinuous" vertical="center"/>
    </xf>
    <xf numFmtId="174" fontId="3" fillId="0" borderId="0"/>
    <xf numFmtId="0" fontId="2" fillId="0" borderId="0">
      <alignment horizontal="left"/>
    </xf>
    <xf numFmtId="172" fontId="4" fillId="0" borderId="0" applyNumberFormat="0" applyBorder="0"/>
  </cellStyleXfs>
  <cellXfs count="97">
    <xf numFmtId="172" fontId="0" fillId="0" borderId="0" xfId="0"/>
    <xf numFmtId="0" fontId="8" fillId="0" borderId="4" xfId="7" applyFont="1" applyBorder="1" applyAlignment="1">
      <alignment horizontal="left" vertical="center"/>
    </xf>
    <xf numFmtId="172" fontId="8" fillId="0" borderId="4" xfId="0" applyFont="1" applyBorder="1" applyAlignment="1">
      <alignment vertical="center"/>
    </xf>
    <xf numFmtId="172" fontId="8" fillId="0" borderId="4" xfId="0" applyFont="1" applyBorder="1" applyAlignment="1">
      <alignment horizontal="center" vertical="center"/>
    </xf>
    <xf numFmtId="172" fontId="8" fillId="0" borderId="4" xfId="0" applyFont="1" applyBorder="1" applyAlignment="1">
      <alignment horizontal="left" vertical="center"/>
    </xf>
    <xf numFmtId="175" fontId="6" fillId="0" borderId="0" xfId="4" applyFont="1" applyAlignment="1">
      <alignment horizontal="left" vertical="center"/>
    </xf>
    <xf numFmtId="175" fontId="6" fillId="0" borderId="0" xfId="4" applyFont="1" applyBorder="1" applyAlignment="1">
      <alignment horizontal="left" vertical="center"/>
    </xf>
    <xf numFmtId="172" fontId="9" fillId="0" borderId="0" xfId="0" applyFont="1" applyAlignment="1">
      <alignment vertical="center"/>
    </xf>
    <xf numFmtId="172" fontId="9" fillId="0" borderId="0" xfId="0" applyFont="1" applyBorder="1" applyAlignment="1">
      <alignment vertical="center"/>
    </xf>
    <xf numFmtId="172" fontId="7" fillId="0" borderId="0" xfId="0" applyFont="1" applyAlignment="1">
      <alignment horizontal="left"/>
    </xf>
    <xf numFmtId="172" fontId="7" fillId="0" borderId="0" xfId="0" applyFont="1" applyBorder="1" applyAlignment="1">
      <alignment horizontal="left"/>
    </xf>
    <xf numFmtId="172" fontId="9" fillId="0" borderId="0" xfId="0" applyFont="1" applyBorder="1" applyAlignment="1">
      <alignment horizontal="left"/>
    </xf>
    <xf numFmtId="172" fontId="9" fillId="0" borderId="0" xfId="0" applyFont="1" applyAlignment="1">
      <alignment horizontal="left"/>
    </xf>
    <xf numFmtId="0" fontId="7" fillId="0" borderId="0" xfId="7" applyFont="1" applyAlignment="1">
      <alignment horizontal="left"/>
    </xf>
    <xf numFmtId="0" fontId="7" fillId="0" borderId="0" xfId="7" applyFont="1" applyBorder="1" applyAlignment="1">
      <alignment horizontal="left"/>
    </xf>
    <xf numFmtId="0" fontId="11" fillId="0" borderId="0" xfId="2" applyFont="1" applyBorder="1" applyAlignment="1">
      <alignment horizontal="center" vertical="center"/>
    </xf>
    <xf numFmtId="0" fontId="11" fillId="0" borderId="5" xfId="2" applyFont="1" applyBorder="1" applyAlignment="1">
      <alignment horizontal="center"/>
    </xf>
    <xf numFmtId="0" fontId="11" fillId="0" borderId="6" xfId="5" applyFont="1" applyBorder="1" applyAlignment="1">
      <alignment horizontal="center" vertical="center"/>
    </xf>
    <xf numFmtId="0" fontId="11" fillId="0" borderId="1" xfId="5" applyFont="1" applyBorder="1" applyAlignment="1">
      <alignment horizontal="center" vertical="center"/>
    </xf>
    <xf numFmtId="0" fontId="11" fillId="0" borderId="7" xfId="2" applyFont="1" applyBorder="1" applyAlignment="1">
      <alignment horizontal="center" vertical="center"/>
    </xf>
    <xf numFmtId="172" fontId="12" fillId="0" borderId="8" xfId="0" applyFont="1" applyBorder="1" applyAlignment="1">
      <alignment vertical="center"/>
    </xf>
    <xf numFmtId="0" fontId="11" fillId="0" borderId="5" xfId="2" applyFont="1" applyBorder="1" applyAlignment="1">
      <alignment horizontal="center" vertical="center"/>
    </xf>
    <xf numFmtId="172" fontId="11" fillId="0" borderId="7" xfId="0" applyFont="1" applyBorder="1" applyAlignment="1">
      <alignment horizontal="center" vertical="center"/>
    </xf>
    <xf numFmtId="172" fontId="11" fillId="0" borderId="0" xfId="0" applyFont="1" applyBorder="1" applyAlignment="1">
      <alignment horizontal="center" vertical="center"/>
    </xf>
    <xf numFmtId="0" fontId="11" fillId="0" borderId="6" xfId="2" applyFont="1" applyBorder="1" applyAlignment="1">
      <alignment horizontal="center" vertical="center"/>
    </xf>
    <xf numFmtId="0" fontId="11" fillId="0" borderId="9" xfId="5" applyFont="1" applyBorder="1" applyAlignment="1">
      <alignment horizontal="center" vertical="center"/>
    </xf>
    <xf numFmtId="0" fontId="11" fillId="0" borderId="0" xfId="5" applyFont="1" applyBorder="1" applyAlignment="1">
      <alignment horizontal="center" vertical="center"/>
    </xf>
    <xf numFmtId="0" fontId="11" fillId="0" borderId="9" xfId="2" applyFont="1" applyBorder="1" applyAlignment="1">
      <alignment horizontal="center" vertical="center"/>
    </xf>
    <xf numFmtId="0" fontId="11" fillId="0" borderId="10" xfId="2" applyFont="1" applyBorder="1" applyAlignment="1">
      <alignment horizontal="center" vertical="center"/>
    </xf>
    <xf numFmtId="172" fontId="11" fillId="0" borderId="10" xfId="0" applyFont="1" applyBorder="1" applyAlignment="1">
      <alignment horizontal="center" vertical="center"/>
    </xf>
    <xf numFmtId="172" fontId="11" fillId="0" borderId="1" xfId="0" applyFont="1" applyBorder="1" applyAlignment="1">
      <alignment horizontal="center" vertical="center"/>
    </xf>
    <xf numFmtId="172" fontId="11" fillId="0" borderId="9" xfId="0" applyFont="1" applyBorder="1" applyAlignment="1">
      <alignment horizontal="center" vertical="center"/>
    </xf>
    <xf numFmtId="0" fontId="11" fillId="0" borderId="1" xfId="2" applyFont="1" applyBorder="1" applyAlignment="1">
      <alignment horizontal="center" vertical="center"/>
    </xf>
    <xf numFmtId="0" fontId="11" fillId="0" borderId="9" xfId="0" applyNumberFormat="1" applyFont="1" applyBorder="1" applyAlignment="1">
      <alignment horizontal="center" vertical="center"/>
    </xf>
    <xf numFmtId="172" fontId="11" fillId="0" borderId="6" xfId="0" applyFont="1" applyFill="1" applyBorder="1" applyAlignment="1">
      <alignment horizontal="center"/>
    </xf>
    <xf numFmtId="172" fontId="11" fillId="0" borderId="1" xfId="0" applyFont="1" applyBorder="1" applyAlignment="1">
      <alignment horizontal="center"/>
    </xf>
    <xf numFmtId="172" fontId="12" fillId="0" borderId="9" xfId="0" applyFont="1" applyBorder="1" applyAlignment="1">
      <alignment horizontal="center" vertical="center"/>
    </xf>
    <xf numFmtId="172" fontId="11" fillId="0" borderId="6" xfId="0" applyFont="1" applyBorder="1" applyAlignment="1">
      <alignment horizontal="center"/>
    </xf>
    <xf numFmtId="172" fontId="11" fillId="0" borderId="0" xfId="0" applyFont="1" applyAlignment="1">
      <alignment horizontal="center"/>
    </xf>
    <xf numFmtId="172" fontId="11" fillId="0" borderId="0" xfId="0" applyFont="1" applyBorder="1" applyAlignment="1">
      <alignment horizontal="center"/>
    </xf>
    <xf numFmtId="172" fontId="11" fillId="0" borderId="1" xfId="0" applyFont="1" applyBorder="1" applyAlignment="1">
      <alignment horizontal="center" vertical="justify"/>
    </xf>
    <xf numFmtId="172" fontId="11" fillId="0" borderId="0" xfId="0" applyFont="1" applyFill="1" applyBorder="1" applyAlignment="1">
      <alignment horizontal="center"/>
    </xf>
    <xf numFmtId="172" fontId="11" fillId="0" borderId="11" xfId="0" applyFont="1" applyFill="1" applyBorder="1" applyAlignment="1">
      <alignment horizontal="center"/>
    </xf>
    <xf numFmtId="172" fontId="11" fillId="0" borderId="6" xfId="0" applyFont="1" applyBorder="1" applyAlignment="1">
      <alignment horizontal="center" vertical="center"/>
    </xf>
    <xf numFmtId="172" fontId="11" fillId="0" borderId="12" xfId="0" applyFont="1" applyBorder="1" applyAlignment="1">
      <alignment horizontal="center"/>
    </xf>
    <xf numFmtId="172" fontId="11" fillId="0" borderId="2" xfId="0" applyFont="1" applyBorder="1" applyAlignment="1">
      <alignment horizontal="center"/>
    </xf>
    <xf numFmtId="172" fontId="11" fillId="0" borderId="2" xfId="0" applyFont="1" applyBorder="1" applyAlignment="1">
      <alignment horizontal="center" vertical="justify"/>
    </xf>
    <xf numFmtId="172" fontId="11" fillId="0" borderId="12" xfId="0" applyFont="1" applyBorder="1" applyAlignment="1">
      <alignment horizontal="center" vertical="center"/>
    </xf>
    <xf numFmtId="172" fontId="11" fillId="0" borderId="13" xfId="0" applyFont="1" applyBorder="1" applyAlignment="1">
      <alignment horizontal="center" vertical="center"/>
    </xf>
    <xf numFmtId="174" fontId="11" fillId="0" borderId="14" xfId="6" applyNumberFormat="1" applyFont="1" applyBorder="1" applyAlignment="1">
      <alignment vertical="center"/>
    </xf>
    <xf numFmtId="173" fontId="11" fillId="0" borderId="15" xfId="3" applyFont="1" applyBorder="1" applyAlignment="1">
      <alignment horizontal="center" vertical="center"/>
    </xf>
    <xf numFmtId="173" fontId="11" fillId="0" borderId="16" xfId="3" applyFont="1" applyBorder="1" applyAlignment="1">
      <alignment horizontal="center" vertical="center"/>
    </xf>
    <xf numFmtId="173" fontId="11" fillId="0" borderId="3" xfId="3" applyFont="1" applyBorder="1" applyAlignment="1">
      <alignment horizontal="center" vertical="center"/>
    </xf>
    <xf numFmtId="173" fontId="11" fillId="0" borderId="15" xfId="3" applyFont="1" applyFill="1" applyBorder="1" applyAlignment="1">
      <alignment horizontal="center" vertical="center"/>
    </xf>
    <xf numFmtId="172" fontId="11" fillId="0" borderId="16" xfId="0" applyFont="1" applyBorder="1" applyAlignment="1">
      <alignment vertical="center"/>
    </xf>
    <xf numFmtId="174" fontId="10" fillId="0" borderId="0" xfId="8" applyNumberFormat="1" applyFont="1" applyBorder="1" applyAlignment="1">
      <alignment vertical="center"/>
    </xf>
    <xf numFmtId="177" fontId="10" fillId="0" borderId="9" xfId="1" applyNumberFormat="1" applyFont="1" applyBorder="1" applyAlignment="1">
      <alignment horizontal="right" vertical="center"/>
    </xf>
    <xf numFmtId="177" fontId="10" fillId="0" borderId="10" xfId="1" applyNumberFormat="1" applyFont="1" applyBorder="1" applyAlignment="1">
      <alignment horizontal="right" vertical="center"/>
    </xf>
    <xf numFmtId="177" fontId="10" fillId="0" borderId="1" xfId="1" applyNumberFormat="1" applyFont="1" applyBorder="1" applyAlignment="1">
      <alignment horizontal="right" vertical="center"/>
    </xf>
    <xf numFmtId="177" fontId="10" fillId="0" borderId="6" xfId="1" applyNumberFormat="1" applyFont="1" applyBorder="1" applyAlignment="1">
      <alignment horizontal="right" vertical="center"/>
    </xf>
    <xf numFmtId="178" fontId="10" fillId="0" borderId="1" xfId="1" applyNumberFormat="1" applyFont="1" applyBorder="1" applyAlignment="1">
      <alignment horizontal="right" vertical="center"/>
    </xf>
    <xf numFmtId="178" fontId="10" fillId="0" borderId="10" xfId="1" applyNumberFormat="1" applyFont="1" applyBorder="1" applyAlignment="1">
      <alignment horizontal="right" vertical="center"/>
    </xf>
    <xf numFmtId="172" fontId="10" fillId="0" borderId="0" xfId="8" applyFont="1" applyBorder="1" applyAlignment="1">
      <alignment vertical="center"/>
    </xf>
    <xf numFmtId="172" fontId="10" fillId="0" borderId="0" xfId="8" applyFont="1" applyAlignment="1">
      <alignment vertical="center"/>
    </xf>
    <xf numFmtId="174" fontId="11" fillId="0" borderId="0" xfId="6" applyNumberFormat="1" applyFont="1" applyBorder="1" applyAlignment="1">
      <alignment vertical="center"/>
    </xf>
    <xf numFmtId="177" fontId="11" fillId="0" borderId="6" xfId="1" applyNumberFormat="1" applyFont="1" applyBorder="1" applyAlignment="1">
      <alignment horizontal="right" vertical="center"/>
    </xf>
    <xf numFmtId="177" fontId="11" fillId="0" borderId="1" xfId="1" applyNumberFormat="1" applyFont="1" applyBorder="1" applyAlignment="1">
      <alignment horizontal="right" vertical="center"/>
    </xf>
    <xf numFmtId="178" fontId="11" fillId="0" borderId="1" xfId="1" applyNumberFormat="1" applyFont="1" applyBorder="1" applyAlignment="1">
      <alignment horizontal="right" vertical="center"/>
    </xf>
    <xf numFmtId="172" fontId="11" fillId="0" borderId="0" xfId="0" applyFont="1" applyAlignment="1">
      <alignment vertical="center"/>
    </xf>
    <xf numFmtId="178" fontId="11" fillId="0" borderId="6" xfId="1" applyNumberFormat="1" applyFont="1" applyBorder="1" applyAlignment="1">
      <alignment horizontal="right" vertical="center"/>
    </xf>
    <xf numFmtId="174" fontId="11" fillId="0" borderId="11" xfId="6" applyNumberFormat="1" applyFont="1" applyBorder="1" applyAlignment="1">
      <alignment vertical="center"/>
    </xf>
    <xf numFmtId="177" fontId="11" fillId="0" borderId="11" xfId="1" applyNumberFormat="1" applyFont="1" applyBorder="1" applyAlignment="1">
      <alignment horizontal="right" vertical="center"/>
    </xf>
    <xf numFmtId="172" fontId="10" fillId="0" borderId="0" xfId="0" applyFont="1" applyAlignment="1">
      <alignment vertical="center"/>
    </xf>
    <xf numFmtId="174" fontId="10" fillId="0" borderId="0" xfId="6" applyNumberFormat="1" applyFont="1" applyBorder="1" applyAlignment="1">
      <alignment vertical="center"/>
    </xf>
    <xf numFmtId="174" fontId="11" fillId="0" borderId="17" xfId="6" applyNumberFormat="1" applyFont="1" applyBorder="1" applyAlignment="1">
      <alignment vertical="center"/>
    </xf>
    <xf numFmtId="176" fontId="11" fillId="0" borderId="17" xfId="1" applyNumberFormat="1" applyFont="1" applyBorder="1" applyAlignment="1">
      <alignment horizontal="right"/>
    </xf>
    <xf numFmtId="176" fontId="11" fillId="0" borderId="17" xfId="1" applyNumberFormat="1" applyFont="1" applyBorder="1" applyAlignment="1">
      <alignment horizontal="right" vertical="center"/>
    </xf>
    <xf numFmtId="172" fontId="11" fillId="0" borderId="17" xfId="0" applyFont="1" applyBorder="1" applyAlignment="1">
      <alignment vertical="center"/>
    </xf>
    <xf numFmtId="0" fontId="11" fillId="0" borderId="0" xfId="7" applyFont="1" applyBorder="1" applyAlignment="1">
      <alignment horizontal="left"/>
    </xf>
    <xf numFmtId="172" fontId="11" fillId="0" borderId="0" xfId="0" applyFont="1" applyBorder="1" applyAlignment="1">
      <alignment horizontal="left"/>
    </xf>
    <xf numFmtId="0" fontId="6" fillId="0" borderId="0" xfId="7" applyFont="1" applyBorder="1" applyAlignment="1">
      <alignment horizontal="left"/>
    </xf>
    <xf numFmtId="172" fontId="6" fillId="0" borderId="0" xfId="0" applyFont="1" applyBorder="1" applyAlignment="1">
      <alignment horizontal="left"/>
    </xf>
    <xf numFmtId="172" fontId="11" fillId="0" borderId="19" xfId="0" applyFont="1" applyBorder="1" applyAlignment="1">
      <alignment horizontal="center" vertical="center"/>
    </xf>
    <xf numFmtId="172" fontId="11" fillId="0" borderId="20" xfId="0" applyFont="1" applyBorder="1" applyAlignment="1">
      <alignment horizontal="center" vertical="center"/>
    </xf>
    <xf numFmtId="172" fontId="11" fillId="0" borderId="8" xfId="0" applyFont="1" applyBorder="1" applyAlignment="1">
      <alignment horizontal="center" vertical="center"/>
    </xf>
    <xf numFmtId="0" fontId="11" fillId="0" borderId="19" xfId="2" applyFont="1" applyBorder="1" applyAlignment="1">
      <alignment horizontal="center" vertical="center"/>
    </xf>
    <xf numFmtId="0" fontId="11" fillId="0" borderId="20" xfId="2" applyFont="1" applyBorder="1" applyAlignment="1">
      <alignment horizontal="center" vertical="center"/>
    </xf>
    <xf numFmtId="172" fontId="12" fillId="0" borderId="20" xfId="0" applyFont="1" applyBorder="1" applyAlignment="1">
      <alignment horizontal="center" vertical="center"/>
    </xf>
    <xf numFmtId="0" fontId="11" fillId="0" borderId="8" xfId="2" applyFont="1" applyBorder="1" applyAlignment="1">
      <alignment horizontal="center" vertical="center"/>
    </xf>
    <xf numFmtId="0" fontId="11" fillId="0" borderId="3" xfId="2" applyFont="1" applyBorder="1" applyAlignment="1">
      <alignment horizontal="center" vertical="center"/>
    </xf>
    <xf numFmtId="0" fontId="11" fillId="0" borderId="16" xfId="2" applyFont="1" applyBorder="1" applyAlignment="1">
      <alignment horizontal="center" vertical="center"/>
    </xf>
    <xf numFmtId="0" fontId="11" fillId="0" borderId="18" xfId="2" applyFont="1" applyBorder="1" applyAlignment="1">
      <alignment horizontal="center" vertical="center"/>
    </xf>
    <xf numFmtId="172" fontId="12" fillId="0" borderId="16" xfId="0" applyFont="1" applyBorder="1" applyAlignment="1">
      <alignment horizontal="center" vertical="center"/>
    </xf>
    <xf numFmtId="172" fontId="12" fillId="0" borderId="18" xfId="0" applyFont="1" applyBorder="1" applyAlignment="1">
      <alignment horizontal="center" vertical="center"/>
    </xf>
    <xf numFmtId="0" fontId="11" fillId="0" borderId="7" xfId="2" applyFont="1" applyBorder="1" applyAlignment="1">
      <alignment horizontal="center" vertical="center"/>
    </xf>
    <xf numFmtId="172" fontId="12" fillId="0" borderId="21" xfId="0" applyFont="1" applyBorder="1" applyAlignment="1">
      <alignment horizontal="center" vertical="center"/>
    </xf>
    <xf numFmtId="172" fontId="12" fillId="0" borderId="22" xfId="0" applyFont="1" applyBorder="1" applyAlignment="1">
      <alignment horizontal="center" vertical="center"/>
    </xf>
  </cellXfs>
  <cellStyles count="9">
    <cellStyle name="Migliaia" xfId="1" builtinId="3"/>
    <cellStyle name="Normale" xfId="0" builtinId="0"/>
    <cellStyle name="style_col_headings" xfId="2" xr:uid="{EF22E5CA-5917-4102-8D67-D09FAE5CB028}"/>
    <cellStyle name="style_col_numbers" xfId="3" xr:uid="{A5B262F1-7FA6-4542-830A-0C1010B24812}"/>
    <cellStyle name="style_footnotes" xfId="4" xr:uid="{9C54F6AC-39EC-4012-87E0-E55803403421}"/>
    <cellStyle name="style_spanners" xfId="5" xr:uid="{97ACB0B0-5B40-4159-9D4E-85D6F23A129C}"/>
    <cellStyle name="style_stub_lines" xfId="6" xr:uid="{D47D0173-F0BB-4BCA-BA7C-187148D11171}"/>
    <cellStyle name="style_titles" xfId="7" xr:uid="{CE507690-299B-4A8E-8A06-9475C3324924}"/>
    <cellStyle name="style_totals" xfId="8" xr:uid="{80D6CEC5-4405-4E65-8E1D-C52CA3055EE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79</xdr:row>
      <xdr:rowOff>49530</xdr:rowOff>
    </xdr:from>
    <xdr:to>
      <xdr:col>9</xdr:col>
      <xdr:colOff>0</xdr:colOff>
      <xdr:row>80</xdr:row>
      <xdr:rowOff>48006</xdr:rowOff>
    </xdr:to>
    <xdr:sp macro="" textlink="">
      <xdr:nvSpPr>
        <xdr:cNvPr id="2" name="Text Box 18">
          <a:extLst>
            <a:ext uri="{FF2B5EF4-FFF2-40B4-BE49-F238E27FC236}">
              <a16:creationId xmlns:a16="http://schemas.microsoft.com/office/drawing/2014/main" id="{7B2CA762-90E9-8492-17EE-A218991D4AA3}"/>
            </a:ext>
          </a:extLst>
        </xdr:cNvPr>
        <xdr:cNvSpPr txBox="1">
          <a:spLocks noChangeArrowheads="1"/>
        </xdr:cNvSpPr>
      </xdr:nvSpPr>
      <xdr:spPr bwMode="auto">
        <a:xfrm>
          <a:off x="68103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18</xdr:col>
      <xdr:colOff>645795</xdr:colOff>
      <xdr:row>79</xdr:row>
      <xdr:rowOff>49530</xdr:rowOff>
    </xdr:from>
    <xdr:to>
      <xdr:col>18</xdr:col>
      <xdr:colOff>645795</xdr:colOff>
      <xdr:row>80</xdr:row>
      <xdr:rowOff>48006</xdr:rowOff>
    </xdr:to>
    <xdr:sp macro="" textlink="">
      <xdr:nvSpPr>
        <xdr:cNvPr id="3" name="Text Box 19">
          <a:extLst>
            <a:ext uri="{FF2B5EF4-FFF2-40B4-BE49-F238E27FC236}">
              <a16:creationId xmlns:a16="http://schemas.microsoft.com/office/drawing/2014/main" id="{CF3F6187-2E36-DA63-0FFA-452AEFDC2459}"/>
            </a:ext>
          </a:extLst>
        </xdr:cNvPr>
        <xdr:cNvSpPr txBox="1">
          <a:spLocks noChangeArrowheads="1"/>
        </xdr:cNvSpPr>
      </xdr:nvSpPr>
      <xdr:spPr bwMode="auto">
        <a:xfrm>
          <a:off x="173259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29</xdr:col>
      <xdr:colOff>0</xdr:colOff>
      <xdr:row>79</xdr:row>
      <xdr:rowOff>49530</xdr:rowOff>
    </xdr:from>
    <xdr:to>
      <xdr:col>29</xdr:col>
      <xdr:colOff>0</xdr:colOff>
      <xdr:row>80</xdr:row>
      <xdr:rowOff>48006</xdr:rowOff>
    </xdr:to>
    <xdr:sp macro="" textlink="">
      <xdr:nvSpPr>
        <xdr:cNvPr id="4" name="Text Box 20">
          <a:extLst>
            <a:ext uri="{FF2B5EF4-FFF2-40B4-BE49-F238E27FC236}">
              <a16:creationId xmlns:a16="http://schemas.microsoft.com/office/drawing/2014/main" id="{35BD19CC-FE8B-B54B-980A-0B096B442D23}"/>
            </a:ext>
          </a:extLst>
        </xdr:cNvPr>
        <xdr:cNvSpPr txBox="1">
          <a:spLocks noChangeArrowheads="1"/>
        </xdr:cNvSpPr>
      </xdr:nvSpPr>
      <xdr:spPr bwMode="auto">
        <a:xfrm>
          <a:off x="262413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39</xdr:col>
      <xdr:colOff>0</xdr:colOff>
      <xdr:row>79</xdr:row>
      <xdr:rowOff>59055</xdr:rowOff>
    </xdr:from>
    <xdr:to>
      <xdr:col>39</xdr:col>
      <xdr:colOff>0</xdr:colOff>
      <xdr:row>80</xdr:row>
      <xdr:rowOff>49530</xdr:rowOff>
    </xdr:to>
    <xdr:sp macro="" textlink="">
      <xdr:nvSpPr>
        <xdr:cNvPr id="5" name="Text Box 21">
          <a:extLst>
            <a:ext uri="{FF2B5EF4-FFF2-40B4-BE49-F238E27FC236}">
              <a16:creationId xmlns:a16="http://schemas.microsoft.com/office/drawing/2014/main" id="{7B7B606A-DBA3-B66A-232F-83B0AD833100}"/>
            </a:ext>
          </a:extLst>
        </xdr:cNvPr>
        <xdr:cNvSpPr txBox="1">
          <a:spLocks noChangeArrowheads="1"/>
        </xdr:cNvSpPr>
      </xdr:nvSpPr>
      <xdr:spPr bwMode="auto">
        <a:xfrm>
          <a:off x="34766250" y="931545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49</xdr:col>
      <xdr:colOff>0</xdr:colOff>
      <xdr:row>79</xdr:row>
      <xdr:rowOff>49530</xdr:rowOff>
    </xdr:from>
    <xdr:to>
      <xdr:col>49</xdr:col>
      <xdr:colOff>0</xdr:colOff>
      <xdr:row>80</xdr:row>
      <xdr:rowOff>48006</xdr:rowOff>
    </xdr:to>
    <xdr:sp macro="" textlink="">
      <xdr:nvSpPr>
        <xdr:cNvPr id="6" name="Text Box 22">
          <a:extLst>
            <a:ext uri="{FF2B5EF4-FFF2-40B4-BE49-F238E27FC236}">
              <a16:creationId xmlns:a16="http://schemas.microsoft.com/office/drawing/2014/main" id="{4D9374C8-308B-EFEE-8F50-BAF19461E891}"/>
            </a:ext>
          </a:extLst>
        </xdr:cNvPr>
        <xdr:cNvSpPr txBox="1">
          <a:spLocks noChangeArrowheads="1"/>
        </xdr:cNvSpPr>
      </xdr:nvSpPr>
      <xdr:spPr bwMode="auto">
        <a:xfrm>
          <a:off x="42710100"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79</xdr:row>
      <xdr:rowOff>49530</xdr:rowOff>
    </xdr:from>
    <xdr:to>
      <xdr:col>71</xdr:col>
      <xdr:colOff>0</xdr:colOff>
      <xdr:row>80</xdr:row>
      <xdr:rowOff>48006</xdr:rowOff>
    </xdr:to>
    <xdr:sp macro="" textlink="">
      <xdr:nvSpPr>
        <xdr:cNvPr id="8" name="Text Box 24">
          <a:extLst>
            <a:ext uri="{FF2B5EF4-FFF2-40B4-BE49-F238E27FC236}">
              <a16:creationId xmlns:a16="http://schemas.microsoft.com/office/drawing/2014/main" id="{C18315E1-BC67-86C8-6F14-6E3BFD296628}"/>
            </a:ext>
          </a:extLst>
        </xdr:cNvPr>
        <xdr:cNvSpPr txBox="1">
          <a:spLocks noChangeArrowheads="1"/>
        </xdr:cNvSpPr>
      </xdr:nvSpPr>
      <xdr:spPr bwMode="auto">
        <a:xfrm>
          <a:off x="646842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643890</xdr:colOff>
      <xdr:row>82</xdr:row>
      <xdr:rowOff>49530</xdr:rowOff>
    </xdr:from>
    <xdr:to>
      <xdr:col>9</xdr:col>
      <xdr:colOff>1905</xdr:colOff>
      <xdr:row>83</xdr:row>
      <xdr:rowOff>423</xdr:rowOff>
    </xdr:to>
    <xdr:sp macro="" textlink="">
      <xdr:nvSpPr>
        <xdr:cNvPr id="9" name="Text Box 34">
          <a:extLst>
            <a:ext uri="{FF2B5EF4-FFF2-40B4-BE49-F238E27FC236}">
              <a16:creationId xmlns:a16="http://schemas.microsoft.com/office/drawing/2014/main" id="{0BBFD13E-8945-E0A6-C106-A2979A3EC49F}"/>
            </a:ext>
          </a:extLst>
        </xdr:cNvPr>
        <xdr:cNvSpPr txBox="1">
          <a:spLocks noChangeArrowheads="1"/>
        </xdr:cNvSpPr>
      </xdr:nvSpPr>
      <xdr:spPr bwMode="auto">
        <a:xfrm>
          <a:off x="68103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643890</xdr:colOff>
      <xdr:row>82</xdr:row>
      <xdr:rowOff>49530</xdr:rowOff>
    </xdr:from>
    <xdr:to>
      <xdr:col>19</xdr:col>
      <xdr:colOff>1905</xdr:colOff>
      <xdr:row>83</xdr:row>
      <xdr:rowOff>423</xdr:rowOff>
    </xdr:to>
    <xdr:sp macro="" textlink="">
      <xdr:nvSpPr>
        <xdr:cNvPr id="10" name="Text Box 35">
          <a:extLst>
            <a:ext uri="{FF2B5EF4-FFF2-40B4-BE49-F238E27FC236}">
              <a16:creationId xmlns:a16="http://schemas.microsoft.com/office/drawing/2014/main" id="{E04BCEAD-9E90-15E6-3DDF-CCFC4C0FE908}"/>
            </a:ext>
          </a:extLst>
        </xdr:cNvPr>
        <xdr:cNvSpPr txBox="1">
          <a:spLocks noChangeArrowheads="1"/>
        </xdr:cNvSpPr>
      </xdr:nvSpPr>
      <xdr:spPr bwMode="auto">
        <a:xfrm>
          <a:off x="173259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643890</xdr:colOff>
      <xdr:row>82</xdr:row>
      <xdr:rowOff>49530</xdr:rowOff>
    </xdr:from>
    <xdr:to>
      <xdr:col>29</xdr:col>
      <xdr:colOff>1905</xdr:colOff>
      <xdr:row>83</xdr:row>
      <xdr:rowOff>423</xdr:rowOff>
    </xdr:to>
    <xdr:sp macro="" textlink="">
      <xdr:nvSpPr>
        <xdr:cNvPr id="11" name="Text Box 36">
          <a:extLst>
            <a:ext uri="{FF2B5EF4-FFF2-40B4-BE49-F238E27FC236}">
              <a16:creationId xmlns:a16="http://schemas.microsoft.com/office/drawing/2014/main" id="{8785B181-2D9E-EE96-FE65-B0DFFF95402D}"/>
            </a:ext>
          </a:extLst>
        </xdr:cNvPr>
        <xdr:cNvSpPr txBox="1">
          <a:spLocks noChangeArrowheads="1"/>
        </xdr:cNvSpPr>
      </xdr:nvSpPr>
      <xdr:spPr bwMode="auto">
        <a:xfrm>
          <a:off x="262413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38</xdr:col>
      <xdr:colOff>643890</xdr:colOff>
      <xdr:row>82</xdr:row>
      <xdr:rowOff>49530</xdr:rowOff>
    </xdr:from>
    <xdr:to>
      <xdr:col>39</xdr:col>
      <xdr:colOff>1905</xdr:colOff>
      <xdr:row>83</xdr:row>
      <xdr:rowOff>423</xdr:rowOff>
    </xdr:to>
    <xdr:sp macro="" textlink="">
      <xdr:nvSpPr>
        <xdr:cNvPr id="12" name="Text Box 37">
          <a:extLst>
            <a:ext uri="{FF2B5EF4-FFF2-40B4-BE49-F238E27FC236}">
              <a16:creationId xmlns:a16="http://schemas.microsoft.com/office/drawing/2014/main" id="{E17793FE-FE97-6CF6-348A-BBF22E5C8071}"/>
            </a:ext>
          </a:extLst>
        </xdr:cNvPr>
        <xdr:cNvSpPr txBox="1">
          <a:spLocks noChangeArrowheads="1"/>
        </xdr:cNvSpPr>
      </xdr:nvSpPr>
      <xdr:spPr bwMode="auto">
        <a:xfrm>
          <a:off x="3476625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48</xdr:col>
      <xdr:colOff>590550</xdr:colOff>
      <xdr:row>82</xdr:row>
      <xdr:rowOff>49530</xdr:rowOff>
    </xdr:from>
    <xdr:to>
      <xdr:col>49</xdr:col>
      <xdr:colOff>1905</xdr:colOff>
      <xdr:row>83</xdr:row>
      <xdr:rowOff>423</xdr:rowOff>
    </xdr:to>
    <xdr:sp macro="" textlink="">
      <xdr:nvSpPr>
        <xdr:cNvPr id="13" name="Text Box 38">
          <a:extLst>
            <a:ext uri="{FF2B5EF4-FFF2-40B4-BE49-F238E27FC236}">
              <a16:creationId xmlns:a16="http://schemas.microsoft.com/office/drawing/2014/main" id="{59B61683-C056-25F3-0674-F373AC9DECC0}"/>
            </a:ext>
          </a:extLst>
        </xdr:cNvPr>
        <xdr:cNvSpPr txBox="1">
          <a:spLocks noChangeArrowheads="1"/>
        </xdr:cNvSpPr>
      </xdr:nvSpPr>
      <xdr:spPr bwMode="auto">
        <a:xfrm>
          <a:off x="4271010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70</xdr:col>
      <xdr:colOff>697230</xdr:colOff>
      <xdr:row>82</xdr:row>
      <xdr:rowOff>49530</xdr:rowOff>
    </xdr:from>
    <xdr:to>
      <xdr:col>71</xdr:col>
      <xdr:colOff>1905</xdr:colOff>
      <xdr:row>83</xdr:row>
      <xdr:rowOff>423</xdr:rowOff>
    </xdr:to>
    <xdr:sp macro="" textlink="">
      <xdr:nvSpPr>
        <xdr:cNvPr id="15" name="Text Box 40">
          <a:extLst>
            <a:ext uri="{FF2B5EF4-FFF2-40B4-BE49-F238E27FC236}">
              <a16:creationId xmlns:a16="http://schemas.microsoft.com/office/drawing/2014/main" id="{560297F6-C3A6-875D-7189-A70C8F5778A8}"/>
            </a:ext>
          </a:extLst>
        </xdr:cNvPr>
        <xdr:cNvSpPr txBox="1">
          <a:spLocks noChangeArrowheads="1"/>
        </xdr:cNvSpPr>
      </xdr:nvSpPr>
      <xdr:spPr bwMode="auto">
        <a:xfrm>
          <a:off x="646842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48006</xdr:rowOff>
    </xdr:to>
    <xdr:sp macro="" textlink="">
      <xdr:nvSpPr>
        <xdr:cNvPr id="16" name="Text Box 41">
          <a:extLst>
            <a:ext uri="{FF2B5EF4-FFF2-40B4-BE49-F238E27FC236}">
              <a16:creationId xmlns:a16="http://schemas.microsoft.com/office/drawing/2014/main" id="{5FFCC184-BFB0-8F3A-8A06-2537CD447DAD}"/>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17" name="Text Box 42">
          <a:extLst>
            <a:ext uri="{FF2B5EF4-FFF2-40B4-BE49-F238E27FC236}">
              <a16:creationId xmlns:a16="http://schemas.microsoft.com/office/drawing/2014/main" id="{EDD0A8AD-7860-596F-58E0-6D90720D6F1F}"/>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80</xdr:row>
      <xdr:rowOff>49530</xdr:rowOff>
    </xdr:from>
    <xdr:to>
      <xdr:col>17</xdr:col>
      <xdr:colOff>0</xdr:colOff>
      <xdr:row>81</xdr:row>
      <xdr:rowOff>48006</xdr:rowOff>
    </xdr:to>
    <xdr:sp macro="" textlink="">
      <xdr:nvSpPr>
        <xdr:cNvPr id="18" name="Text Box 43">
          <a:extLst>
            <a:ext uri="{FF2B5EF4-FFF2-40B4-BE49-F238E27FC236}">
              <a16:creationId xmlns:a16="http://schemas.microsoft.com/office/drawing/2014/main" id="{257F967E-2185-379B-E192-63BAB5F28CF3}"/>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19" name="Text Box 44">
          <a:extLst>
            <a:ext uri="{FF2B5EF4-FFF2-40B4-BE49-F238E27FC236}">
              <a16:creationId xmlns:a16="http://schemas.microsoft.com/office/drawing/2014/main" id="{859AD9AD-2E3F-295A-3948-EAFB3AF920C6}"/>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48006</xdr:rowOff>
    </xdr:to>
    <xdr:sp macro="" textlink="">
      <xdr:nvSpPr>
        <xdr:cNvPr id="20" name="Text Box 45">
          <a:extLst>
            <a:ext uri="{FF2B5EF4-FFF2-40B4-BE49-F238E27FC236}">
              <a16:creationId xmlns:a16="http://schemas.microsoft.com/office/drawing/2014/main" id="{FA783D34-A4AD-B633-2E6E-B7E2207F39CE}"/>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21" name="Text Box 46">
          <a:extLst>
            <a:ext uri="{FF2B5EF4-FFF2-40B4-BE49-F238E27FC236}">
              <a16:creationId xmlns:a16="http://schemas.microsoft.com/office/drawing/2014/main" id="{349ACCD1-AD8E-C835-7EEA-454F3F9C485B}"/>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22" name="Text Box 47">
          <a:extLst>
            <a:ext uri="{FF2B5EF4-FFF2-40B4-BE49-F238E27FC236}">
              <a16:creationId xmlns:a16="http://schemas.microsoft.com/office/drawing/2014/main" id="{170C6058-F118-D27C-A82C-D4CD0B580AD9}"/>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23" name="Text Box 48">
          <a:extLst>
            <a:ext uri="{FF2B5EF4-FFF2-40B4-BE49-F238E27FC236}">
              <a16:creationId xmlns:a16="http://schemas.microsoft.com/office/drawing/2014/main" id="{387FD847-912D-2B0B-0B71-0C448F7CB903}"/>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73</xdr:col>
      <xdr:colOff>0</xdr:colOff>
      <xdr:row>80</xdr:row>
      <xdr:rowOff>49530</xdr:rowOff>
    </xdr:from>
    <xdr:to>
      <xdr:col>73</xdr:col>
      <xdr:colOff>0</xdr:colOff>
      <xdr:row>81</xdr:row>
      <xdr:rowOff>48006</xdr:rowOff>
    </xdr:to>
    <xdr:sp macro="" textlink="">
      <xdr:nvSpPr>
        <xdr:cNvPr id="28" name="Text Box 53">
          <a:extLst>
            <a:ext uri="{FF2B5EF4-FFF2-40B4-BE49-F238E27FC236}">
              <a16:creationId xmlns:a16="http://schemas.microsoft.com/office/drawing/2014/main" id="{1F41CD85-DFE5-666A-3CDE-015973D1CFAE}"/>
            </a:ext>
          </a:extLst>
        </xdr:cNvPr>
        <xdr:cNvSpPr txBox="1">
          <a:spLocks noChangeArrowheads="1"/>
        </xdr:cNvSpPr>
      </xdr:nvSpPr>
      <xdr:spPr bwMode="auto">
        <a:xfrm>
          <a:off x="6587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73</xdr:col>
      <xdr:colOff>0</xdr:colOff>
      <xdr:row>83</xdr:row>
      <xdr:rowOff>0</xdr:rowOff>
    </xdr:from>
    <xdr:to>
      <xdr:col>73</xdr:col>
      <xdr:colOff>0</xdr:colOff>
      <xdr:row>83</xdr:row>
      <xdr:rowOff>0</xdr:rowOff>
    </xdr:to>
    <xdr:sp macro="" textlink="">
      <xdr:nvSpPr>
        <xdr:cNvPr id="29" name="Text Box 54">
          <a:extLst>
            <a:ext uri="{FF2B5EF4-FFF2-40B4-BE49-F238E27FC236}">
              <a16:creationId xmlns:a16="http://schemas.microsoft.com/office/drawing/2014/main" id="{61E6CAF7-4217-8F54-3FCC-E3310D35130C}"/>
            </a:ext>
          </a:extLst>
        </xdr:cNvPr>
        <xdr:cNvSpPr txBox="1">
          <a:spLocks noChangeArrowheads="1"/>
        </xdr:cNvSpPr>
      </xdr:nvSpPr>
      <xdr:spPr bwMode="auto">
        <a:xfrm>
          <a:off x="6587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62</xdr:col>
      <xdr:colOff>0</xdr:colOff>
      <xdr:row>80</xdr:row>
      <xdr:rowOff>49530</xdr:rowOff>
    </xdr:from>
    <xdr:to>
      <xdr:col>62</xdr:col>
      <xdr:colOff>0</xdr:colOff>
      <xdr:row>81</xdr:row>
      <xdr:rowOff>48006</xdr:rowOff>
    </xdr:to>
    <xdr:sp macro="" textlink="">
      <xdr:nvSpPr>
        <xdr:cNvPr id="34" name="Text Box 59">
          <a:extLst>
            <a:ext uri="{FF2B5EF4-FFF2-40B4-BE49-F238E27FC236}">
              <a16:creationId xmlns:a16="http://schemas.microsoft.com/office/drawing/2014/main" id="{3DA9ECD9-0F63-CD71-6A89-C7295E4639F7}"/>
            </a:ext>
          </a:extLst>
        </xdr:cNvPr>
        <xdr:cNvSpPr txBox="1">
          <a:spLocks noChangeArrowheads="1"/>
        </xdr:cNvSpPr>
      </xdr:nvSpPr>
      <xdr:spPr bwMode="auto">
        <a:xfrm>
          <a:off x="560451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62</xdr:col>
      <xdr:colOff>0</xdr:colOff>
      <xdr:row>83</xdr:row>
      <xdr:rowOff>0</xdr:rowOff>
    </xdr:from>
    <xdr:to>
      <xdr:col>62</xdr:col>
      <xdr:colOff>0</xdr:colOff>
      <xdr:row>83</xdr:row>
      <xdr:rowOff>0</xdr:rowOff>
    </xdr:to>
    <xdr:sp macro="" textlink="">
      <xdr:nvSpPr>
        <xdr:cNvPr id="35" name="Text Box 60">
          <a:extLst>
            <a:ext uri="{FF2B5EF4-FFF2-40B4-BE49-F238E27FC236}">
              <a16:creationId xmlns:a16="http://schemas.microsoft.com/office/drawing/2014/main" id="{63B6C1B8-E1A8-2E20-305C-2B46E50694FA}"/>
            </a:ext>
          </a:extLst>
        </xdr:cNvPr>
        <xdr:cNvSpPr txBox="1">
          <a:spLocks noChangeArrowheads="1"/>
        </xdr:cNvSpPr>
      </xdr:nvSpPr>
      <xdr:spPr bwMode="auto">
        <a:xfrm>
          <a:off x="560451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48006</xdr:rowOff>
    </xdr:to>
    <xdr:sp macro="" textlink="">
      <xdr:nvSpPr>
        <xdr:cNvPr id="36" name="Text Box 61">
          <a:extLst>
            <a:ext uri="{FF2B5EF4-FFF2-40B4-BE49-F238E27FC236}">
              <a16:creationId xmlns:a16="http://schemas.microsoft.com/office/drawing/2014/main" id="{AFFFB0E2-F752-76DA-4174-F558CD8193CD}"/>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37" name="Text Box 62">
          <a:extLst>
            <a:ext uri="{FF2B5EF4-FFF2-40B4-BE49-F238E27FC236}">
              <a16:creationId xmlns:a16="http://schemas.microsoft.com/office/drawing/2014/main" id="{C6200F8E-AD5C-56A2-BCF7-A9D1DA141411}"/>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48006</xdr:rowOff>
    </xdr:to>
    <xdr:sp macro="" textlink="">
      <xdr:nvSpPr>
        <xdr:cNvPr id="38" name="Text Box 63">
          <a:extLst>
            <a:ext uri="{FF2B5EF4-FFF2-40B4-BE49-F238E27FC236}">
              <a16:creationId xmlns:a16="http://schemas.microsoft.com/office/drawing/2014/main" id="{5F77CA9E-2A2F-DBE3-EA15-19E76927A2F6}"/>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39" name="Text Box 64">
          <a:extLst>
            <a:ext uri="{FF2B5EF4-FFF2-40B4-BE49-F238E27FC236}">
              <a16:creationId xmlns:a16="http://schemas.microsoft.com/office/drawing/2014/main" id="{26117885-0420-ECC4-F042-6C10B8AECA00}"/>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48006</xdr:rowOff>
    </xdr:to>
    <xdr:sp macro="" textlink="">
      <xdr:nvSpPr>
        <xdr:cNvPr id="40" name="Text Box 65">
          <a:extLst>
            <a:ext uri="{FF2B5EF4-FFF2-40B4-BE49-F238E27FC236}">
              <a16:creationId xmlns:a16="http://schemas.microsoft.com/office/drawing/2014/main" id="{029695EA-802A-A776-2A0E-B84290B96D91}"/>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41" name="Text Box 66">
          <a:extLst>
            <a:ext uri="{FF2B5EF4-FFF2-40B4-BE49-F238E27FC236}">
              <a16:creationId xmlns:a16="http://schemas.microsoft.com/office/drawing/2014/main" id="{5CE47DCB-B5DD-2025-6477-46022DE36AD7}"/>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48006</xdr:rowOff>
    </xdr:to>
    <xdr:sp macro="" textlink="">
      <xdr:nvSpPr>
        <xdr:cNvPr id="42" name="Text Box 67">
          <a:extLst>
            <a:ext uri="{FF2B5EF4-FFF2-40B4-BE49-F238E27FC236}">
              <a16:creationId xmlns:a16="http://schemas.microsoft.com/office/drawing/2014/main" id="{E173AE05-1CC4-A7E7-85AA-014439E3E0DC}"/>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43" name="Text Box 68">
          <a:extLst>
            <a:ext uri="{FF2B5EF4-FFF2-40B4-BE49-F238E27FC236}">
              <a16:creationId xmlns:a16="http://schemas.microsoft.com/office/drawing/2014/main" id="{F6293192-BDB1-D468-4940-4C55AB90A678}"/>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80</xdr:row>
      <xdr:rowOff>49530</xdr:rowOff>
    </xdr:from>
    <xdr:to>
      <xdr:col>17</xdr:col>
      <xdr:colOff>0</xdr:colOff>
      <xdr:row>81</xdr:row>
      <xdr:rowOff>48006</xdr:rowOff>
    </xdr:to>
    <xdr:sp macro="" textlink="">
      <xdr:nvSpPr>
        <xdr:cNvPr id="44" name="Text Box 69">
          <a:extLst>
            <a:ext uri="{FF2B5EF4-FFF2-40B4-BE49-F238E27FC236}">
              <a16:creationId xmlns:a16="http://schemas.microsoft.com/office/drawing/2014/main" id="{14CC7D63-BAAD-D587-98E9-3761CFC143D9}"/>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45" name="Text Box 70">
          <a:extLst>
            <a:ext uri="{FF2B5EF4-FFF2-40B4-BE49-F238E27FC236}">
              <a16:creationId xmlns:a16="http://schemas.microsoft.com/office/drawing/2014/main" id="{1A94B33B-84A2-2F33-A09F-8A0813FCAC86}"/>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48006</xdr:rowOff>
    </xdr:to>
    <xdr:sp macro="" textlink="">
      <xdr:nvSpPr>
        <xdr:cNvPr id="46" name="Text Box 71">
          <a:extLst>
            <a:ext uri="{FF2B5EF4-FFF2-40B4-BE49-F238E27FC236}">
              <a16:creationId xmlns:a16="http://schemas.microsoft.com/office/drawing/2014/main" id="{F83AD237-8E5C-8DE6-4FA8-F1B080BFB0AC}"/>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47" name="Text Box 72">
          <a:extLst>
            <a:ext uri="{FF2B5EF4-FFF2-40B4-BE49-F238E27FC236}">
              <a16:creationId xmlns:a16="http://schemas.microsoft.com/office/drawing/2014/main" id="{DA7262B2-BC99-6BA4-0A1F-BAC7F0279C71}"/>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48006</xdr:rowOff>
    </xdr:to>
    <xdr:sp macro="" textlink="">
      <xdr:nvSpPr>
        <xdr:cNvPr id="48" name="Text Box 73">
          <a:extLst>
            <a:ext uri="{FF2B5EF4-FFF2-40B4-BE49-F238E27FC236}">
              <a16:creationId xmlns:a16="http://schemas.microsoft.com/office/drawing/2014/main" id="{A31B34C1-287D-F685-5969-964ADE1FF630}"/>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49" name="Text Box 74">
          <a:extLst>
            <a:ext uri="{FF2B5EF4-FFF2-40B4-BE49-F238E27FC236}">
              <a16:creationId xmlns:a16="http://schemas.microsoft.com/office/drawing/2014/main" id="{26543F05-DFB6-D164-8E6F-8C3727A30CCE}"/>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50" name="Text Box 75">
          <a:extLst>
            <a:ext uri="{FF2B5EF4-FFF2-40B4-BE49-F238E27FC236}">
              <a16:creationId xmlns:a16="http://schemas.microsoft.com/office/drawing/2014/main" id="{4A4FCC61-CD65-12DF-0721-364D0808847E}"/>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51" name="Text Box 76">
          <a:extLst>
            <a:ext uri="{FF2B5EF4-FFF2-40B4-BE49-F238E27FC236}">
              <a16:creationId xmlns:a16="http://schemas.microsoft.com/office/drawing/2014/main" id="{44EBC473-7F6C-DD69-A452-9F86B09069D9}"/>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52" name="Text Box 77">
          <a:extLst>
            <a:ext uri="{FF2B5EF4-FFF2-40B4-BE49-F238E27FC236}">
              <a16:creationId xmlns:a16="http://schemas.microsoft.com/office/drawing/2014/main" id="{09AEF96E-0B9D-0488-9EFC-BD4A6ED5AD8B}"/>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53" name="Text Box 78">
          <a:extLst>
            <a:ext uri="{FF2B5EF4-FFF2-40B4-BE49-F238E27FC236}">
              <a16:creationId xmlns:a16="http://schemas.microsoft.com/office/drawing/2014/main" id="{336FDE2E-3832-02DC-58C1-FABDEE027B5A}"/>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48006</xdr:rowOff>
    </xdr:to>
    <xdr:sp macro="" textlink="">
      <xdr:nvSpPr>
        <xdr:cNvPr id="54" name="Text Box 79">
          <a:extLst>
            <a:ext uri="{FF2B5EF4-FFF2-40B4-BE49-F238E27FC236}">
              <a16:creationId xmlns:a16="http://schemas.microsoft.com/office/drawing/2014/main" id="{FD8F2F3E-8364-E718-47EC-CCD63B0630A8}"/>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55" name="Text Box 80">
          <a:extLst>
            <a:ext uri="{FF2B5EF4-FFF2-40B4-BE49-F238E27FC236}">
              <a16:creationId xmlns:a16="http://schemas.microsoft.com/office/drawing/2014/main" id="{EED3FFA7-3257-1EBF-9297-5AC9DD33024D}"/>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80</xdr:row>
      <xdr:rowOff>49530</xdr:rowOff>
    </xdr:from>
    <xdr:to>
      <xdr:col>17</xdr:col>
      <xdr:colOff>0</xdr:colOff>
      <xdr:row>81</xdr:row>
      <xdr:rowOff>48006</xdr:rowOff>
    </xdr:to>
    <xdr:sp macro="" textlink="">
      <xdr:nvSpPr>
        <xdr:cNvPr id="56" name="Text Box 81">
          <a:extLst>
            <a:ext uri="{FF2B5EF4-FFF2-40B4-BE49-F238E27FC236}">
              <a16:creationId xmlns:a16="http://schemas.microsoft.com/office/drawing/2014/main" id="{3DA83B12-2997-A41F-8088-86B99E87B9B5}"/>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57" name="Text Box 82">
          <a:extLst>
            <a:ext uri="{FF2B5EF4-FFF2-40B4-BE49-F238E27FC236}">
              <a16:creationId xmlns:a16="http://schemas.microsoft.com/office/drawing/2014/main" id="{821FF09E-1B78-9B35-E8F0-5FE8D01C764B}"/>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48006</xdr:rowOff>
    </xdr:to>
    <xdr:sp macro="" textlink="">
      <xdr:nvSpPr>
        <xdr:cNvPr id="58" name="Text Box 83">
          <a:extLst>
            <a:ext uri="{FF2B5EF4-FFF2-40B4-BE49-F238E27FC236}">
              <a16:creationId xmlns:a16="http://schemas.microsoft.com/office/drawing/2014/main" id="{648B8C60-909F-6AD3-66C0-0113423D01AF}"/>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59" name="Text Box 84">
          <a:extLst>
            <a:ext uri="{FF2B5EF4-FFF2-40B4-BE49-F238E27FC236}">
              <a16:creationId xmlns:a16="http://schemas.microsoft.com/office/drawing/2014/main" id="{041F6531-F74F-E1E5-3A8A-3D7DD5CEA68D}"/>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60" name="Text Box 85">
          <a:extLst>
            <a:ext uri="{FF2B5EF4-FFF2-40B4-BE49-F238E27FC236}">
              <a16:creationId xmlns:a16="http://schemas.microsoft.com/office/drawing/2014/main" id="{1683992E-3A62-DA90-AF53-1C466FBFA3C2}"/>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61" name="Text Box 86">
          <a:extLst>
            <a:ext uri="{FF2B5EF4-FFF2-40B4-BE49-F238E27FC236}">
              <a16:creationId xmlns:a16="http://schemas.microsoft.com/office/drawing/2014/main" id="{FA26931F-2FCD-F376-5FD2-8D15A000220B}"/>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48006</xdr:rowOff>
    </xdr:to>
    <xdr:sp macro="" textlink="">
      <xdr:nvSpPr>
        <xdr:cNvPr id="66" name="Text Box 91">
          <a:extLst>
            <a:ext uri="{FF2B5EF4-FFF2-40B4-BE49-F238E27FC236}">
              <a16:creationId xmlns:a16="http://schemas.microsoft.com/office/drawing/2014/main" id="{2FEDC74F-4A26-57E6-FD06-3D0938EDDD9A}"/>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67" name="Text Box 92">
          <a:extLst>
            <a:ext uri="{FF2B5EF4-FFF2-40B4-BE49-F238E27FC236}">
              <a16:creationId xmlns:a16="http://schemas.microsoft.com/office/drawing/2014/main" id="{AD43E715-302E-64AD-7EE3-3842653CC325}"/>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48006</xdr:rowOff>
    </xdr:to>
    <xdr:sp macro="" textlink="">
      <xdr:nvSpPr>
        <xdr:cNvPr id="68" name="Text Box 93">
          <a:extLst>
            <a:ext uri="{FF2B5EF4-FFF2-40B4-BE49-F238E27FC236}">
              <a16:creationId xmlns:a16="http://schemas.microsoft.com/office/drawing/2014/main" id="{395E95DB-2AD2-39ED-3EA9-DEF34468667A}"/>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69" name="Text Box 94">
          <a:extLst>
            <a:ext uri="{FF2B5EF4-FFF2-40B4-BE49-F238E27FC236}">
              <a16:creationId xmlns:a16="http://schemas.microsoft.com/office/drawing/2014/main" id="{62C7B116-DA04-B21B-8D84-E301C89B6B45}"/>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48006</xdr:rowOff>
    </xdr:to>
    <xdr:sp macro="" textlink="">
      <xdr:nvSpPr>
        <xdr:cNvPr id="70" name="Text Box 95">
          <a:extLst>
            <a:ext uri="{FF2B5EF4-FFF2-40B4-BE49-F238E27FC236}">
              <a16:creationId xmlns:a16="http://schemas.microsoft.com/office/drawing/2014/main" id="{A48B00EA-D3F5-8F03-7209-8B6792F73F27}"/>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71" name="Text Box 96">
          <a:extLst>
            <a:ext uri="{FF2B5EF4-FFF2-40B4-BE49-F238E27FC236}">
              <a16:creationId xmlns:a16="http://schemas.microsoft.com/office/drawing/2014/main" id="{418B5819-05BF-601B-0F84-F49D2C0027A5}"/>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48006</xdr:rowOff>
    </xdr:to>
    <xdr:sp macro="" textlink="">
      <xdr:nvSpPr>
        <xdr:cNvPr id="74" name="Text Box 104">
          <a:extLst>
            <a:ext uri="{FF2B5EF4-FFF2-40B4-BE49-F238E27FC236}">
              <a16:creationId xmlns:a16="http://schemas.microsoft.com/office/drawing/2014/main" id="{476DFA93-C745-F821-3C2C-F7C7CE3F4B3B}"/>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75" name="Text Box 105">
          <a:extLst>
            <a:ext uri="{FF2B5EF4-FFF2-40B4-BE49-F238E27FC236}">
              <a16:creationId xmlns:a16="http://schemas.microsoft.com/office/drawing/2014/main" id="{B11974DD-206B-E4C7-E103-07B270FAB8C3}"/>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80</xdr:row>
      <xdr:rowOff>49530</xdr:rowOff>
    </xdr:from>
    <xdr:to>
      <xdr:col>17</xdr:col>
      <xdr:colOff>0</xdr:colOff>
      <xdr:row>81</xdr:row>
      <xdr:rowOff>48006</xdr:rowOff>
    </xdr:to>
    <xdr:sp macro="" textlink="">
      <xdr:nvSpPr>
        <xdr:cNvPr id="76" name="Text Box 109">
          <a:extLst>
            <a:ext uri="{FF2B5EF4-FFF2-40B4-BE49-F238E27FC236}">
              <a16:creationId xmlns:a16="http://schemas.microsoft.com/office/drawing/2014/main" id="{08C6DFFC-9ACB-E19B-F89A-51A0FF6EB73C}"/>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77" name="Text Box 110">
          <a:extLst>
            <a:ext uri="{FF2B5EF4-FFF2-40B4-BE49-F238E27FC236}">
              <a16:creationId xmlns:a16="http://schemas.microsoft.com/office/drawing/2014/main" id="{04C8BF3D-BF38-9F37-9851-B0A3A69E4389}"/>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48006</xdr:rowOff>
    </xdr:to>
    <xdr:sp macro="" textlink="">
      <xdr:nvSpPr>
        <xdr:cNvPr id="78" name="Text Box 114">
          <a:extLst>
            <a:ext uri="{FF2B5EF4-FFF2-40B4-BE49-F238E27FC236}">
              <a16:creationId xmlns:a16="http://schemas.microsoft.com/office/drawing/2014/main" id="{71AECD34-F5D1-61AA-6865-56BD74314462}"/>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79" name="Text Box 115">
          <a:extLst>
            <a:ext uri="{FF2B5EF4-FFF2-40B4-BE49-F238E27FC236}">
              <a16:creationId xmlns:a16="http://schemas.microsoft.com/office/drawing/2014/main" id="{337542EC-FD35-A1D5-3336-4F24F69F65AB}"/>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80" name="Text Box 119">
          <a:extLst>
            <a:ext uri="{FF2B5EF4-FFF2-40B4-BE49-F238E27FC236}">
              <a16:creationId xmlns:a16="http://schemas.microsoft.com/office/drawing/2014/main" id="{E7A10515-D63D-9BA1-EDED-6065DF2E3BA8}"/>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1" name="Text Box 120">
          <a:extLst>
            <a:ext uri="{FF2B5EF4-FFF2-40B4-BE49-F238E27FC236}">
              <a16:creationId xmlns:a16="http://schemas.microsoft.com/office/drawing/2014/main" id="{E010E3B3-C298-C4AC-A878-E028CB7D8DB6}"/>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82" name="Text Box 121">
          <a:extLst>
            <a:ext uri="{FF2B5EF4-FFF2-40B4-BE49-F238E27FC236}">
              <a16:creationId xmlns:a16="http://schemas.microsoft.com/office/drawing/2014/main" id="{B2E385C3-83AD-6B74-9B51-81516DB8E5B7}"/>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3" name="Text Box 122">
          <a:extLst>
            <a:ext uri="{FF2B5EF4-FFF2-40B4-BE49-F238E27FC236}">
              <a16:creationId xmlns:a16="http://schemas.microsoft.com/office/drawing/2014/main" id="{3028CE95-85C0-17EA-3C2D-4AA399F0F2F2}"/>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84" name="Text Box 123">
          <a:extLst>
            <a:ext uri="{FF2B5EF4-FFF2-40B4-BE49-F238E27FC236}">
              <a16:creationId xmlns:a16="http://schemas.microsoft.com/office/drawing/2014/main" id="{423C16C7-9E3B-7450-B5DB-5D0AE057C321}"/>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5" name="Text Box 124">
          <a:extLst>
            <a:ext uri="{FF2B5EF4-FFF2-40B4-BE49-F238E27FC236}">
              <a16:creationId xmlns:a16="http://schemas.microsoft.com/office/drawing/2014/main" id="{78DB3EB4-615A-B08B-D51D-18103387F7B6}"/>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86" name="Text Box 125">
          <a:extLst>
            <a:ext uri="{FF2B5EF4-FFF2-40B4-BE49-F238E27FC236}">
              <a16:creationId xmlns:a16="http://schemas.microsoft.com/office/drawing/2014/main" id="{28CC2CD8-4849-7947-09D0-BFC21D02C245}"/>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7" name="Text Box 126">
          <a:extLst>
            <a:ext uri="{FF2B5EF4-FFF2-40B4-BE49-F238E27FC236}">
              <a16:creationId xmlns:a16="http://schemas.microsoft.com/office/drawing/2014/main" id="{35BBB53A-A717-0FDB-51FC-418D0770679B}"/>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88" name="Text Box 127">
          <a:extLst>
            <a:ext uri="{FF2B5EF4-FFF2-40B4-BE49-F238E27FC236}">
              <a16:creationId xmlns:a16="http://schemas.microsoft.com/office/drawing/2014/main" id="{ABC65D06-732F-8966-7040-CCDDD9E37CCF}"/>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9" name="Text Box 128">
          <a:extLst>
            <a:ext uri="{FF2B5EF4-FFF2-40B4-BE49-F238E27FC236}">
              <a16:creationId xmlns:a16="http://schemas.microsoft.com/office/drawing/2014/main" id="{3866BEAF-F05B-05EE-D86C-F14699C6285B}"/>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48006</xdr:rowOff>
    </xdr:to>
    <xdr:sp macro="" textlink="">
      <xdr:nvSpPr>
        <xdr:cNvPr id="110" name="Text Box 158">
          <a:extLst>
            <a:ext uri="{FF2B5EF4-FFF2-40B4-BE49-F238E27FC236}">
              <a16:creationId xmlns:a16="http://schemas.microsoft.com/office/drawing/2014/main" id="{A4595B9A-E434-E04D-838F-6DFA3A2CD5E8}"/>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1" name="Text Box 159">
          <a:extLst>
            <a:ext uri="{FF2B5EF4-FFF2-40B4-BE49-F238E27FC236}">
              <a16:creationId xmlns:a16="http://schemas.microsoft.com/office/drawing/2014/main" id="{306EA995-8C65-2A92-8B7D-85EB8A99D056}"/>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48006</xdr:rowOff>
    </xdr:to>
    <xdr:sp macro="" textlink="">
      <xdr:nvSpPr>
        <xdr:cNvPr id="112" name="Text Box 160">
          <a:extLst>
            <a:ext uri="{FF2B5EF4-FFF2-40B4-BE49-F238E27FC236}">
              <a16:creationId xmlns:a16="http://schemas.microsoft.com/office/drawing/2014/main" id="{A205D020-8D33-4F38-69BD-AAEF6B6571D0}"/>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3" name="Text Box 161">
          <a:extLst>
            <a:ext uri="{FF2B5EF4-FFF2-40B4-BE49-F238E27FC236}">
              <a16:creationId xmlns:a16="http://schemas.microsoft.com/office/drawing/2014/main" id="{4D34655B-D63B-401A-716D-59AA361806DA}"/>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48006</xdr:rowOff>
    </xdr:to>
    <xdr:sp macro="" textlink="">
      <xdr:nvSpPr>
        <xdr:cNvPr id="114" name="Text Box 162">
          <a:extLst>
            <a:ext uri="{FF2B5EF4-FFF2-40B4-BE49-F238E27FC236}">
              <a16:creationId xmlns:a16="http://schemas.microsoft.com/office/drawing/2014/main" id="{4C8FB403-06CA-D664-B337-EE3BAD24E9AB}"/>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5" name="Text Box 163">
          <a:extLst>
            <a:ext uri="{FF2B5EF4-FFF2-40B4-BE49-F238E27FC236}">
              <a16:creationId xmlns:a16="http://schemas.microsoft.com/office/drawing/2014/main" id="{E0BC3AE6-5721-7EAB-EC82-ACC09C1D6918}"/>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48006</xdr:rowOff>
    </xdr:to>
    <xdr:sp macro="" textlink="">
      <xdr:nvSpPr>
        <xdr:cNvPr id="116" name="Text Box 164">
          <a:extLst>
            <a:ext uri="{FF2B5EF4-FFF2-40B4-BE49-F238E27FC236}">
              <a16:creationId xmlns:a16="http://schemas.microsoft.com/office/drawing/2014/main" id="{78980C03-9EE9-9030-09A3-DFCC5FC6FAD6}"/>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7" name="Text Box 165">
          <a:extLst>
            <a:ext uri="{FF2B5EF4-FFF2-40B4-BE49-F238E27FC236}">
              <a16:creationId xmlns:a16="http://schemas.microsoft.com/office/drawing/2014/main" id="{0C74638C-BAD3-C977-F7CA-CF1993777531}"/>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48006</xdr:rowOff>
    </xdr:to>
    <xdr:sp macro="" textlink="">
      <xdr:nvSpPr>
        <xdr:cNvPr id="118" name="Text Box 166">
          <a:extLst>
            <a:ext uri="{FF2B5EF4-FFF2-40B4-BE49-F238E27FC236}">
              <a16:creationId xmlns:a16="http://schemas.microsoft.com/office/drawing/2014/main" id="{2983E723-3EAA-EF0D-0272-A7DFA95BC2DF}"/>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9" name="Text Box 167">
          <a:extLst>
            <a:ext uri="{FF2B5EF4-FFF2-40B4-BE49-F238E27FC236}">
              <a16:creationId xmlns:a16="http://schemas.microsoft.com/office/drawing/2014/main" id="{F3E8EF1B-C975-406B-0FFF-AFFB16B6C82D}"/>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48006</xdr:rowOff>
    </xdr:to>
    <xdr:sp macro="" textlink="">
      <xdr:nvSpPr>
        <xdr:cNvPr id="120" name="Text Box 171">
          <a:extLst>
            <a:ext uri="{FF2B5EF4-FFF2-40B4-BE49-F238E27FC236}">
              <a16:creationId xmlns:a16="http://schemas.microsoft.com/office/drawing/2014/main" id="{3D108C8E-F8F4-6421-03C5-88D349B22D7C}"/>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1" name="Text Box 172">
          <a:extLst>
            <a:ext uri="{FF2B5EF4-FFF2-40B4-BE49-F238E27FC236}">
              <a16:creationId xmlns:a16="http://schemas.microsoft.com/office/drawing/2014/main" id="{346EE648-D551-FF7E-48DD-B41F63FB352C}"/>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48006</xdr:rowOff>
    </xdr:to>
    <xdr:sp macro="" textlink="">
      <xdr:nvSpPr>
        <xdr:cNvPr id="122" name="Text Box 173">
          <a:extLst>
            <a:ext uri="{FF2B5EF4-FFF2-40B4-BE49-F238E27FC236}">
              <a16:creationId xmlns:a16="http://schemas.microsoft.com/office/drawing/2014/main" id="{9BF7117C-9729-837D-1AB1-D9F99B4CE844}"/>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3" name="Text Box 174">
          <a:extLst>
            <a:ext uri="{FF2B5EF4-FFF2-40B4-BE49-F238E27FC236}">
              <a16:creationId xmlns:a16="http://schemas.microsoft.com/office/drawing/2014/main" id="{95BCA88A-4B0C-2C86-EE10-97543BDD6E6A}"/>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48006</xdr:rowOff>
    </xdr:to>
    <xdr:sp macro="" textlink="">
      <xdr:nvSpPr>
        <xdr:cNvPr id="124" name="Text Box 175">
          <a:extLst>
            <a:ext uri="{FF2B5EF4-FFF2-40B4-BE49-F238E27FC236}">
              <a16:creationId xmlns:a16="http://schemas.microsoft.com/office/drawing/2014/main" id="{24EFBC69-9C59-3019-EC87-45FA7EBEB396}"/>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5" name="Text Box 176">
          <a:extLst>
            <a:ext uri="{FF2B5EF4-FFF2-40B4-BE49-F238E27FC236}">
              <a16:creationId xmlns:a16="http://schemas.microsoft.com/office/drawing/2014/main" id="{34D9093D-305C-39AF-145F-EEC8238E7719}"/>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48006</xdr:rowOff>
    </xdr:to>
    <xdr:sp macro="" textlink="">
      <xdr:nvSpPr>
        <xdr:cNvPr id="126" name="Text Box 177">
          <a:extLst>
            <a:ext uri="{FF2B5EF4-FFF2-40B4-BE49-F238E27FC236}">
              <a16:creationId xmlns:a16="http://schemas.microsoft.com/office/drawing/2014/main" id="{8C84E3FC-B57F-C074-9054-45B0DCF5F0A8}"/>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7" name="Text Box 178">
          <a:extLst>
            <a:ext uri="{FF2B5EF4-FFF2-40B4-BE49-F238E27FC236}">
              <a16:creationId xmlns:a16="http://schemas.microsoft.com/office/drawing/2014/main" id="{E3F2DBBC-D668-A061-417F-D7223C72A2C0}"/>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48006</xdr:rowOff>
    </xdr:to>
    <xdr:sp macro="" textlink="">
      <xdr:nvSpPr>
        <xdr:cNvPr id="128" name="Text Box 179">
          <a:extLst>
            <a:ext uri="{FF2B5EF4-FFF2-40B4-BE49-F238E27FC236}">
              <a16:creationId xmlns:a16="http://schemas.microsoft.com/office/drawing/2014/main" id="{0300227A-1D17-8D21-5CAB-90E3F29EB09B}"/>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9" name="Text Box 180">
          <a:extLst>
            <a:ext uri="{FF2B5EF4-FFF2-40B4-BE49-F238E27FC236}">
              <a16:creationId xmlns:a16="http://schemas.microsoft.com/office/drawing/2014/main" id="{876F0ECC-22BD-94B9-0016-EE5558E3E0A0}"/>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48006</xdr:rowOff>
    </xdr:to>
    <xdr:sp macro="" textlink="">
      <xdr:nvSpPr>
        <xdr:cNvPr id="140" name="Text Box 197">
          <a:extLst>
            <a:ext uri="{FF2B5EF4-FFF2-40B4-BE49-F238E27FC236}">
              <a16:creationId xmlns:a16="http://schemas.microsoft.com/office/drawing/2014/main" id="{D11D037E-86D8-48B2-E3A1-80BFD32FE7F1}"/>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1" name="Text Box 198">
          <a:extLst>
            <a:ext uri="{FF2B5EF4-FFF2-40B4-BE49-F238E27FC236}">
              <a16:creationId xmlns:a16="http://schemas.microsoft.com/office/drawing/2014/main" id="{A21C1AAC-4251-DFE3-CA07-7EF19B8EDCB6}"/>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48006</xdr:rowOff>
    </xdr:to>
    <xdr:sp macro="" textlink="">
      <xdr:nvSpPr>
        <xdr:cNvPr id="142" name="Text Box 199">
          <a:extLst>
            <a:ext uri="{FF2B5EF4-FFF2-40B4-BE49-F238E27FC236}">
              <a16:creationId xmlns:a16="http://schemas.microsoft.com/office/drawing/2014/main" id="{1AC4ECBF-EF1A-ADC2-4E19-009E6B6E7FED}"/>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3" name="Text Box 200">
          <a:extLst>
            <a:ext uri="{FF2B5EF4-FFF2-40B4-BE49-F238E27FC236}">
              <a16:creationId xmlns:a16="http://schemas.microsoft.com/office/drawing/2014/main" id="{2A6C4B3F-3B52-5003-BE62-597F1F342F30}"/>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48006</xdr:rowOff>
    </xdr:to>
    <xdr:sp macro="" textlink="">
      <xdr:nvSpPr>
        <xdr:cNvPr id="144" name="Text Box 201">
          <a:extLst>
            <a:ext uri="{FF2B5EF4-FFF2-40B4-BE49-F238E27FC236}">
              <a16:creationId xmlns:a16="http://schemas.microsoft.com/office/drawing/2014/main" id="{167F3A13-38F0-035C-725B-53950B54D951}"/>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5" name="Text Box 202">
          <a:extLst>
            <a:ext uri="{FF2B5EF4-FFF2-40B4-BE49-F238E27FC236}">
              <a16:creationId xmlns:a16="http://schemas.microsoft.com/office/drawing/2014/main" id="{1D8505B8-342C-9884-3A2C-A860D8C70A17}"/>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48006</xdr:rowOff>
    </xdr:to>
    <xdr:sp macro="" textlink="">
      <xdr:nvSpPr>
        <xdr:cNvPr id="146" name="Text Box 203">
          <a:extLst>
            <a:ext uri="{FF2B5EF4-FFF2-40B4-BE49-F238E27FC236}">
              <a16:creationId xmlns:a16="http://schemas.microsoft.com/office/drawing/2014/main" id="{79C54C7F-3E0B-D5C4-9AC8-DDA2DB86BC2F}"/>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7" name="Text Box 204">
          <a:extLst>
            <a:ext uri="{FF2B5EF4-FFF2-40B4-BE49-F238E27FC236}">
              <a16:creationId xmlns:a16="http://schemas.microsoft.com/office/drawing/2014/main" id="{E22E9E01-6AD6-A800-2B02-EA14BC55FF15}"/>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48006</xdr:rowOff>
    </xdr:to>
    <xdr:sp macro="" textlink="">
      <xdr:nvSpPr>
        <xdr:cNvPr id="148" name="Text Box 205">
          <a:extLst>
            <a:ext uri="{FF2B5EF4-FFF2-40B4-BE49-F238E27FC236}">
              <a16:creationId xmlns:a16="http://schemas.microsoft.com/office/drawing/2014/main" id="{2F78EB3E-0DC7-696D-19E1-4B166A28FE5D}"/>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9" name="Text Box 206">
          <a:extLst>
            <a:ext uri="{FF2B5EF4-FFF2-40B4-BE49-F238E27FC236}">
              <a16:creationId xmlns:a16="http://schemas.microsoft.com/office/drawing/2014/main" id="{0CBED22D-2591-EB83-C067-6A8468F4CD89}"/>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48006</xdr:rowOff>
    </xdr:to>
    <xdr:sp macro="" textlink="">
      <xdr:nvSpPr>
        <xdr:cNvPr id="150" name="Text Box 214">
          <a:extLst>
            <a:ext uri="{FF2B5EF4-FFF2-40B4-BE49-F238E27FC236}">
              <a16:creationId xmlns:a16="http://schemas.microsoft.com/office/drawing/2014/main" id="{2874D028-5466-DD9C-F2FF-CDECA9B58120}"/>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151" name="Text Box 215">
          <a:extLst>
            <a:ext uri="{FF2B5EF4-FFF2-40B4-BE49-F238E27FC236}">
              <a16:creationId xmlns:a16="http://schemas.microsoft.com/office/drawing/2014/main" id="{6BF51643-3D37-6152-BD58-A8769C1A9A18}"/>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25</xdr:row>
      <xdr:rowOff>47625</xdr:rowOff>
    </xdr:from>
    <xdr:to>
      <xdr:col>8</xdr:col>
      <xdr:colOff>0</xdr:colOff>
      <xdr:row>26</xdr:row>
      <xdr:rowOff>68671</xdr:rowOff>
    </xdr:to>
    <xdr:sp macro="" textlink="">
      <xdr:nvSpPr>
        <xdr:cNvPr id="152" name="Text Box 216">
          <a:extLst>
            <a:ext uri="{FF2B5EF4-FFF2-40B4-BE49-F238E27FC236}">
              <a16:creationId xmlns:a16="http://schemas.microsoft.com/office/drawing/2014/main" id="{21A18DD0-5EA5-C99E-DE42-4FB964C1E154}"/>
            </a:ext>
          </a:extLst>
        </xdr:cNvPr>
        <xdr:cNvSpPr txBox="1">
          <a:spLocks noChangeArrowheads="1"/>
        </xdr:cNvSpPr>
      </xdr:nvSpPr>
      <xdr:spPr bwMode="auto">
        <a:xfrm>
          <a:off x="615315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26</xdr:row>
      <xdr:rowOff>49530</xdr:rowOff>
    </xdr:from>
    <xdr:to>
      <xdr:col>8</xdr:col>
      <xdr:colOff>0</xdr:colOff>
      <xdr:row>27</xdr:row>
      <xdr:rowOff>49530</xdr:rowOff>
    </xdr:to>
    <xdr:sp macro="" textlink="">
      <xdr:nvSpPr>
        <xdr:cNvPr id="153" name="Text Box 217">
          <a:extLst>
            <a:ext uri="{FF2B5EF4-FFF2-40B4-BE49-F238E27FC236}">
              <a16:creationId xmlns:a16="http://schemas.microsoft.com/office/drawing/2014/main" id="{474FB29A-C342-1ABE-F047-8582F27CBE74}"/>
            </a:ext>
          </a:extLst>
        </xdr:cNvPr>
        <xdr:cNvSpPr txBox="1">
          <a:spLocks noChangeArrowheads="1"/>
        </xdr:cNvSpPr>
      </xdr:nvSpPr>
      <xdr:spPr bwMode="auto">
        <a:xfrm>
          <a:off x="6153150"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43</xdr:row>
      <xdr:rowOff>49530</xdr:rowOff>
    </xdr:from>
    <xdr:to>
      <xdr:col>8</xdr:col>
      <xdr:colOff>0</xdr:colOff>
      <xdr:row>44</xdr:row>
      <xdr:rowOff>49530</xdr:rowOff>
    </xdr:to>
    <xdr:sp macro="" textlink="">
      <xdr:nvSpPr>
        <xdr:cNvPr id="154" name="Text Box 218">
          <a:extLst>
            <a:ext uri="{FF2B5EF4-FFF2-40B4-BE49-F238E27FC236}">
              <a16:creationId xmlns:a16="http://schemas.microsoft.com/office/drawing/2014/main" id="{B812B9EF-62BA-BB94-1D24-7A243C42041F}"/>
            </a:ext>
          </a:extLst>
        </xdr:cNvPr>
        <xdr:cNvSpPr txBox="1">
          <a:spLocks noChangeArrowheads="1"/>
        </xdr:cNvSpPr>
      </xdr:nvSpPr>
      <xdr:spPr bwMode="auto">
        <a:xfrm>
          <a:off x="6153150"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80</xdr:row>
      <xdr:rowOff>49530</xdr:rowOff>
    </xdr:from>
    <xdr:to>
      <xdr:col>17</xdr:col>
      <xdr:colOff>0</xdr:colOff>
      <xdr:row>81</xdr:row>
      <xdr:rowOff>48006</xdr:rowOff>
    </xdr:to>
    <xdr:sp macro="" textlink="">
      <xdr:nvSpPr>
        <xdr:cNvPr id="155" name="Text Box 219">
          <a:extLst>
            <a:ext uri="{FF2B5EF4-FFF2-40B4-BE49-F238E27FC236}">
              <a16:creationId xmlns:a16="http://schemas.microsoft.com/office/drawing/2014/main" id="{62A598BD-4C58-4771-25E6-D95A9F199E2B}"/>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156" name="Text Box 220">
          <a:extLst>
            <a:ext uri="{FF2B5EF4-FFF2-40B4-BE49-F238E27FC236}">
              <a16:creationId xmlns:a16="http://schemas.microsoft.com/office/drawing/2014/main" id="{6866A82F-07E6-CB3F-6D7E-7BA33C4E8BBB}"/>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25</xdr:row>
      <xdr:rowOff>47625</xdr:rowOff>
    </xdr:from>
    <xdr:to>
      <xdr:col>17</xdr:col>
      <xdr:colOff>0</xdr:colOff>
      <xdr:row>26</xdr:row>
      <xdr:rowOff>68671</xdr:rowOff>
    </xdr:to>
    <xdr:sp macro="" textlink="">
      <xdr:nvSpPr>
        <xdr:cNvPr id="157" name="Text Box 221">
          <a:extLst>
            <a:ext uri="{FF2B5EF4-FFF2-40B4-BE49-F238E27FC236}">
              <a16:creationId xmlns:a16="http://schemas.microsoft.com/office/drawing/2014/main" id="{BCF339AC-EC70-1A55-F1BC-61F55F9F27B7}"/>
            </a:ext>
          </a:extLst>
        </xdr:cNvPr>
        <xdr:cNvSpPr txBox="1">
          <a:spLocks noChangeArrowheads="1"/>
        </xdr:cNvSpPr>
      </xdr:nvSpPr>
      <xdr:spPr bwMode="auto">
        <a:xfrm>
          <a:off x="142398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17</xdr:col>
      <xdr:colOff>0</xdr:colOff>
      <xdr:row>26</xdr:row>
      <xdr:rowOff>49530</xdr:rowOff>
    </xdr:from>
    <xdr:to>
      <xdr:col>17</xdr:col>
      <xdr:colOff>0</xdr:colOff>
      <xdr:row>27</xdr:row>
      <xdr:rowOff>49530</xdr:rowOff>
    </xdr:to>
    <xdr:sp macro="" textlink="">
      <xdr:nvSpPr>
        <xdr:cNvPr id="158" name="Text Box 222">
          <a:extLst>
            <a:ext uri="{FF2B5EF4-FFF2-40B4-BE49-F238E27FC236}">
              <a16:creationId xmlns:a16="http://schemas.microsoft.com/office/drawing/2014/main" id="{53C3A000-29CB-EBAF-F307-351FBB1D527F}"/>
            </a:ext>
          </a:extLst>
        </xdr:cNvPr>
        <xdr:cNvSpPr txBox="1">
          <a:spLocks noChangeArrowheads="1"/>
        </xdr:cNvSpPr>
      </xdr:nvSpPr>
      <xdr:spPr bwMode="auto">
        <a:xfrm>
          <a:off x="142398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43</xdr:row>
      <xdr:rowOff>49530</xdr:rowOff>
    </xdr:from>
    <xdr:to>
      <xdr:col>17</xdr:col>
      <xdr:colOff>0</xdr:colOff>
      <xdr:row>44</xdr:row>
      <xdr:rowOff>49530</xdr:rowOff>
    </xdr:to>
    <xdr:sp macro="" textlink="">
      <xdr:nvSpPr>
        <xdr:cNvPr id="159" name="Text Box 223">
          <a:extLst>
            <a:ext uri="{FF2B5EF4-FFF2-40B4-BE49-F238E27FC236}">
              <a16:creationId xmlns:a16="http://schemas.microsoft.com/office/drawing/2014/main" id="{4ADBD4B6-4F8C-5679-F4E5-47008F1D5992}"/>
            </a:ext>
          </a:extLst>
        </xdr:cNvPr>
        <xdr:cNvSpPr txBox="1">
          <a:spLocks noChangeArrowheads="1"/>
        </xdr:cNvSpPr>
      </xdr:nvSpPr>
      <xdr:spPr bwMode="auto">
        <a:xfrm>
          <a:off x="142398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80</xdr:row>
      <xdr:rowOff>49530</xdr:rowOff>
    </xdr:from>
    <xdr:to>
      <xdr:col>25</xdr:col>
      <xdr:colOff>0</xdr:colOff>
      <xdr:row>81</xdr:row>
      <xdr:rowOff>48006</xdr:rowOff>
    </xdr:to>
    <xdr:sp macro="" textlink="">
      <xdr:nvSpPr>
        <xdr:cNvPr id="160" name="Text Box 224">
          <a:extLst>
            <a:ext uri="{FF2B5EF4-FFF2-40B4-BE49-F238E27FC236}">
              <a16:creationId xmlns:a16="http://schemas.microsoft.com/office/drawing/2014/main" id="{C4EC8ABD-275C-E62E-C9BD-71289A74AD23}"/>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161" name="Text Box 225">
          <a:extLst>
            <a:ext uri="{FF2B5EF4-FFF2-40B4-BE49-F238E27FC236}">
              <a16:creationId xmlns:a16="http://schemas.microsoft.com/office/drawing/2014/main" id="{9CD76721-CB1C-B99B-58A6-F7AC8ACD7954}"/>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25</xdr:row>
      <xdr:rowOff>47625</xdr:rowOff>
    </xdr:from>
    <xdr:to>
      <xdr:col>25</xdr:col>
      <xdr:colOff>0</xdr:colOff>
      <xdr:row>26</xdr:row>
      <xdr:rowOff>68671</xdr:rowOff>
    </xdr:to>
    <xdr:sp macro="" textlink="">
      <xdr:nvSpPr>
        <xdr:cNvPr id="162" name="Text Box 226">
          <a:extLst>
            <a:ext uri="{FF2B5EF4-FFF2-40B4-BE49-F238E27FC236}">
              <a16:creationId xmlns:a16="http://schemas.microsoft.com/office/drawing/2014/main" id="{AF97F87C-DFCB-56DF-343C-906FBDD1E591}"/>
            </a:ext>
          </a:extLst>
        </xdr:cNvPr>
        <xdr:cNvSpPr txBox="1">
          <a:spLocks noChangeArrowheads="1"/>
        </xdr:cNvSpPr>
      </xdr:nvSpPr>
      <xdr:spPr bwMode="auto">
        <a:xfrm>
          <a:off x="21631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25</xdr:col>
      <xdr:colOff>0</xdr:colOff>
      <xdr:row>26</xdr:row>
      <xdr:rowOff>49530</xdr:rowOff>
    </xdr:from>
    <xdr:to>
      <xdr:col>25</xdr:col>
      <xdr:colOff>0</xdr:colOff>
      <xdr:row>27</xdr:row>
      <xdr:rowOff>49530</xdr:rowOff>
    </xdr:to>
    <xdr:sp macro="" textlink="">
      <xdr:nvSpPr>
        <xdr:cNvPr id="163" name="Text Box 227">
          <a:extLst>
            <a:ext uri="{FF2B5EF4-FFF2-40B4-BE49-F238E27FC236}">
              <a16:creationId xmlns:a16="http://schemas.microsoft.com/office/drawing/2014/main" id="{AC1225AB-B3FC-B0F7-FC84-2D147A64CF18}"/>
            </a:ext>
          </a:extLst>
        </xdr:cNvPr>
        <xdr:cNvSpPr txBox="1">
          <a:spLocks noChangeArrowheads="1"/>
        </xdr:cNvSpPr>
      </xdr:nvSpPr>
      <xdr:spPr bwMode="auto">
        <a:xfrm>
          <a:off x="216312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43</xdr:row>
      <xdr:rowOff>49530</xdr:rowOff>
    </xdr:from>
    <xdr:to>
      <xdr:col>25</xdr:col>
      <xdr:colOff>0</xdr:colOff>
      <xdr:row>44</xdr:row>
      <xdr:rowOff>49530</xdr:rowOff>
    </xdr:to>
    <xdr:sp macro="" textlink="">
      <xdr:nvSpPr>
        <xdr:cNvPr id="164" name="Text Box 228">
          <a:extLst>
            <a:ext uri="{FF2B5EF4-FFF2-40B4-BE49-F238E27FC236}">
              <a16:creationId xmlns:a16="http://schemas.microsoft.com/office/drawing/2014/main" id="{610A7228-B9BE-BC7C-72CA-F6082E4367E8}"/>
            </a:ext>
          </a:extLst>
        </xdr:cNvPr>
        <xdr:cNvSpPr txBox="1">
          <a:spLocks noChangeArrowheads="1"/>
        </xdr:cNvSpPr>
      </xdr:nvSpPr>
      <xdr:spPr bwMode="auto">
        <a:xfrm>
          <a:off x="216312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80</xdr:row>
      <xdr:rowOff>49530</xdr:rowOff>
    </xdr:from>
    <xdr:to>
      <xdr:col>33</xdr:col>
      <xdr:colOff>0</xdr:colOff>
      <xdr:row>81</xdr:row>
      <xdr:rowOff>48006</xdr:rowOff>
    </xdr:to>
    <xdr:sp macro="" textlink="">
      <xdr:nvSpPr>
        <xdr:cNvPr id="165" name="Text Box 229">
          <a:extLst>
            <a:ext uri="{FF2B5EF4-FFF2-40B4-BE49-F238E27FC236}">
              <a16:creationId xmlns:a16="http://schemas.microsoft.com/office/drawing/2014/main" id="{F3F8AB89-0CA9-6B66-0497-45B6F8D96DDA}"/>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166" name="Text Box 230">
          <a:extLst>
            <a:ext uri="{FF2B5EF4-FFF2-40B4-BE49-F238E27FC236}">
              <a16:creationId xmlns:a16="http://schemas.microsoft.com/office/drawing/2014/main" id="{F3E364C2-63FE-4603-22C2-41EB9020E66E}"/>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25</xdr:row>
      <xdr:rowOff>47625</xdr:rowOff>
    </xdr:from>
    <xdr:to>
      <xdr:col>33</xdr:col>
      <xdr:colOff>0</xdr:colOff>
      <xdr:row>26</xdr:row>
      <xdr:rowOff>68671</xdr:rowOff>
    </xdr:to>
    <xdr:sp macro="" textlink="">
      <xdr:nvSpPr>
        <xdr:cNvPr id="167" name="Text Box 231">
          <a:extLst>
            <a:ext uri="{FF2B5EF4-FFF2-40B4-BE49-F238E27FC236}">
              <a16:creationId xmlns:a16="http://schemas.microsoft.com/office/drawing/2014/main" id="{95806CA2-7277-1009-8A76-09C632A1F30D}"/>
            </a:ext>
          </a:extLst>
        </xdr:cNvPr>
        <xdr:cNvSpPr txBox="1">
          <a:spLocks noChangeArrowheads="1"/>
        </xdr:cNvSpPr>
      </xdr:nvSpPr>
      <xdr:spPr bwMode="auto">
        <a:xfrm>
          <a:off x="2904172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33</xdr:col>
      <xdr:colOff>0</xdr:colOff>
      <xdr:row>26</xdr:row>
      <xdr:rowOff>49530</xdr:rowOff>
    </xdr:from>
    <xdr:to>
      <xdr:col>33</xdr:col>
      <xdr:colOff>0</xdr:colOff>
      <xdr:row>27</xdr:row>
      <xdr:rowOff>49530</xdr:rowOff>
    </xdr:to>
    <xdr:sp macro="" textlink="">
      <xdr:nvSpPr>
        <xdr:cNvPr id="168" name="Text Box 232">
          <a:extLst>
            <a:ext uri="{FF2B5EF4-FFF2-40B4-BE49-F238E27FC236}">
              <a16:creationId xmlns:a16="http://schemas.microsoft.com/office/drawing/2014/main" id="{ABDBB7EC-094F-73E3-F9DB-96B62F976982}"/>
            </a:ext>
          </a:extLst>
        </xdr:cNvPr>
        <xdr:cNvSpPr txBox="1">
          <a:spLocks noChangeArrowheads="1"/>
        </xdr:cNvSpPr>
      </xdr:nvSpPr>
      <xdr:spPr bwMode="auto">
        <a:xfrm>
          <a:off x="2904172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43</xdr:row>
      <xdr:rowOff>49530</xdr:rowOff>
    </xdr:from>
    <xdr:to>
      <xdr:col>33</xdr:col>
      <xdr:colOff>0</xdr:colOff>
      <xdr:row>44</xdr:row>
      <xdr:rowOff>49530</xdr:rowOff>
    </xdr:to>
    <xdr:sp macro="" textlink="">
      <xdr:nvSpPr>
        <xdr:cNvPr id="169" name="Text Box 233">
          <a:extLst>
            <a:ext uri="{FF2B5EF4-FFF2-40B4-BE49-F238E27FC236}">
              <a16:creationId xmlns:a16="http://schemas.microsoft.com/office/drawing/2014/main" id="{7BECF1C8-EBC7-9B17-55E1-382A07B95760}"/>
            </a:ext>
          </a:extLst>
        </xdr:cNvPr>
        <xdr:cNvSpPr txBox="1">
          <a:spLocks noChangeArrowheads="1"/>
        </xdr:cNvSpPr>
      </xdr:nvSpPr>
      <xdr:spPr bwMode="auto">
        <a:xfrm>
          <a:off x="2904172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80</xdr:row>
      <xdr:rowOff>49530</xdr:rowOff>
    </xdr:from>
    <xdr:to>
      <xdr:col>61</xdr:col>
      <xdr:colOff>0</xdr:colOff>
      <xdr:row>81</xdr:row>
      <xdr:rowOff>48006</xdr:rowOff>
    </xdr:to>
    <xdr:sp macro="" textlink="">
      <xdr:nvSpPr>
        <xdr:cNvPr id="180" name="Text Box 244">
          <a:extLst>
            <a:ext uri="{FF2B5EF4-FFF2-40B4-BE49-F238E27FC236}">
              <a16:creationId xmlns:a16="http://schemas.microsoft.com/office/drawing/2014/main" id="{ABCE58C2-D909-9B9A-AE9F-C5F83D324DD7}"/>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81" name="Text Box 245">
          <a:extLst>
            <a:ext uri="{FF2B5EF4-FFF2-40B4-BE49-F238E27FC236}">
              <a16:creationId xmlns:a16="http://schemas.microsoft.com/office/drawing/2014/main" id="{6ED06280-3B80-D25D-B1FA-F8E8C8D015A3}"/>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25</xdr:row>
      <xdr:rowOff>47625</xdr:rowOff>
    </xdr:from>
    <xdr:to>
      <xdr:col>61</xdr:col>
      <xdr:colOff>0</xdr:colOff>
      <xdr:row>26</xdr:row>
      <xdr:rowOff>68671</xdr:rowOff>
    </xdr:to>
    <xdr:sp macro="" textlink="">
      <xdr:nvSpPr>
        <xdr:cNvPr id="182" name="Text Box 246">
          <a:extLst>
            <a:ext uri="{FF2B5EF4-FFF2-40B4-BE49-F238E27FC236}">
              <a16:creationId xmlns:a16="http://schemas.microsoft.com/office/drawing/2014/main" id="{78C850EE-347E-C827-5292-CE2B8E6C01AD}"/>
            </a:ext>
          </a:extLst>
        </xdr:cNvPr>
        <xdr:cNvSpPr txBox="1">
          <a:spLocks noChangeArrowheads="1"/>
        </xdr:cNvSpPr>
      </xdr:nvSpPr>
      <xdr:spPr bwMode="auto">
        <a:xfrm>
          <a:off x="553116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61</xdr:col>
      <xdr:colOff>0</xdr:colOff>
      <xdr:row>26</xdr:row>
      <xdr:rowOff>49530</xdr:rowOff>
    </xdr:from>
    <xdr:to>
      <xdr:col>61</xdr:col>
      <xdr:colOff>0</xdr:colOff>
      <xdr:row>27</xdr:row>
      <xdr:rowOff>49530</xdr:rowOff>
    </xdr:to>
    <xdr:sp macro="" textlink="">
      <xdr:nvSpPr>
        <xdr:cNvPr id="183" name="Text Box 247">
          <a:extLst>
            <a:ext uri="{FF2B5EF4-FFF2-40B4-BE49-F238E27FC236}">
              <a16:creationId xmlns:a16="http://schemas.microsoft.com/office/drawing/2014/main" id="{B4016A3C-20E2-9D40-5822-3628478DFB52}"/>
            </a:ext>
          </a:extLst>
        </xdr:cNvPr>
        <xdr:cNvSpPr txBox="1">
          <a:spLocks noChangeArrowheads="1"/>
        </xdr:cNvSpPr>
      </xdr:nvSpPr>
      <xdr:spPr bwMode="auto">
        <a:xfrm>
          <a:off x="553116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43</xdr:row>
      <xdr:rowOff>49530</xdr:rowOff>
    </xdr:from>
    <xdr:to>
      <xdr:col>61</xdr:col>
      <xdr:colOff>0</xdr:colOff>
      <xdr:row>44</xdr:row>
      <xdr:rowOff>49530</xdr:rowOff>
    </xdr:to>
    <xdr:sp macro="" textlink="">
      <xdr:nvSpPr>
        <xdr:cNvPr id="184" name="Text Box 248">
          <a:extLst>
            <a:ext uri="{FF2B5EF4-FFF2-40B4-BE49-F238E27FC236}">
              <a16:creationId xmlns:a16="http://schemas.microsoft.com/office/drawing/2014/main" id="{E626E254-4684-0A03-D3C0-A5D212438E24}"/>
            </a:ext>
          </a:extLst>
        </xdr:cNvPr>
        <xdr:cNvSpPr txBox="1">
          <a:spLocks noChangeArrowheads="1"/>
        </xdr:cNvSpPr>
      </xdr:nvSpPr>
      <xdr:spPr bwMode="auto">
        <a:xfrm>
          <a:off x="553116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80</xdr:row>
      <xdr:rowOff>49530</xdr:rowOff>
    </xdr:from>
    <xdr:to>
      <xdr:col>71</xdr:col>
      <xdr:colOff>0</xdr:colOff>
      <xdr:row>81</xdr:row>
      <xdr:rowOff>48006</xdr:rowOff>
    </xdr:to>
    <xdr:sp macro="" textlink="">
      <xdr:nvSpPr>
        <xdr:cNvPr id="185" name="Text Box 249">
          <a:extLst>
            <a:ext uri="{FF2B5EF4-FFF2-40B4-BE49-F238E27FC236}">
              <a16:creationId xmlns:a16="http://schemas.microsoft.com/office/drawing/2014/main" id="{8AE9FC92-B78E-2309-4B38-D92C615982C7}"/>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86" name="Text Box 250">
          <a:extLst>
            <a:ext uri="{FF2B5EF4-FFF2-40B4-BE49-F238E27FC236}">
              <a16:creationId xmlns:a16="http://schemas.microsoft.com/office/drawing/2014/main" id="{AEB0E384-25B7-7E5C-55DE-073567D90D30}"/>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25</xdr:row>
      <xdr:rowOff>47625</xdr:rowOff>
    </xdr:from>
    <xdr:to>
      <xdr:col>71</xdr:col>
      <xdr:colOff>0</xdr:colOff>
      <xdr:row>26</xdr:row>
      <xdr:rowOff>68671</xdr:rowOff>
    </xdr:to>
    <xdr:sp macro="" textlink="">
      <xdr:nvSpPr>
        <xdr:cNvPr id="187" name="Text Box 251">
          <a:extLst>
            <a:ext uri="{FF2B5EF4-FFF2-40B4-BE49-F238E27FC236}">
              <a16:creationId xmlns:a16="http://schemas.microsoft.com/office/drawing/2014/main" id="{ED351125-33F7-E0E0-AAC9-C390113AA989}"/>
            </a:ext>
          </a:extLst>
        </xdr:cNvPr>
        <xdr:cNvSpPr txBox="1">
          <a:spLocks noChangeArrowheads="1"/>
        </xdr:cNvSpPr>
      </xdr:nvSpPr>
      <xdr:spPr bwMode="auto">
        <a:xfrm>
          <a:off x="64684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71</xdr:col>
      <xdr:colOff>0</xdr:colOff>
      <xdr:row>26</xdr:row>
      <xdr:rowOff>49530</xdr:rowOff>
    </xdr:from>
    <xdr:to>
      <xdr:col>71</xdr:col>
      <xdr:colOff>0</xdr:colOff>
      <xdr:row>27</xdr:row>
      <xdr:rowOff>49530</xdr:rowOff>
    </xdr:to>
    <xdr:sp macro="" textlink="">
      <xdr:nvSpPr>
        <xdr:cNvPr id="188" name="Text Box 252">
          <a:extLst>
            <a:ext uri="{FF2B5EF4-FFF2-40B4-BE49-F238E27FC236}">
              <a16:creationId xmlns:a16="http://schemas.microsoft.com/office/drawing/2014/main" id="{5A30A9FD-661D-B495-EBF7-D4DB01E300A9}"/>
            </a:ext>
          </a:extLst>
        </xdr:cNvPr>
        <xdr:cNvSpPr txBox="1">
          <a:spLocks noChangeArrowheads="1"/>
        </xdr:cNvSpPr>
      </xdr:nvSpPr>
      <xdr:spPr bwMode="auto">
        <a:xfrm>
          <a:off x="646842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43</xdr:row>
      <xdr:rowOff>49530</xdr:rowOff>
    </xdr:from>
    <xdr:to>
      <xdr:col>71</xdr:col>
      <xdr:colOff>0</xdr:colOff>
      <xdr:row>44</xdr:row>
      <xdr:rowOff>49530</xdr:rowOff>
    </xdr:to>
    <xdr:sp macro="" textlink="">
      <xdr:nvSpPr>
        <xdr:cNvPr id="189" name="Text Box 253">
          <a:extLst>
            <a:ext uri="{FF2B5EF4-FFF2-40B4-BE49-F238E27FC236}">
              <a16:creationId xmlns:a16="http://schemas.microsoft.com/office/drawing/2014/main" id="{45133FDB-4841-8782-ED1C-618EA38542E6}"/>
            </a:ext>
          </a:extLst>
        </xdr:cNvPr>
        <xdr:cNvSpPr txBox="1">
          <a:spLocks noChangeArrowheads="1"/>
        </xdr:cNvSpPr>
      </xdr:nvSpPr>
      <xdr:spPr bwMode="auto">
        <a:xfrm>
          <a:off x="646842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80</xdr:row>
      <xdr:rowOff>49530</xdr:rowOff>
    </xdr:from>
    <xdr:to>
      <xdr:col>80</xdr:col>
      <xdr:colOff>0</xdr:colOff>
      <xdr:row>81</xdr:row>
      <xdr:rowOff>48006</xdr:rowOff>
    </xdr:to>
    <xdr:sp macro="" textlink="">
      <xdr:nvSpPr>
        <xdr:cNvPr id="190" name="Text Box 254">
          <a:extLst>
            <a:ext uri="{FF2B5EF4-FFF2-40B4-BE49-F238E27FC236}">
              <a16:creationId xmlns:a16="http://schemas.microsoft.com/office/drawing/2014/main" id="{6ADA4BEE-C85D-491B-71C9-C4FE24884474}"/>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91" name="Text Box 255">
          <a:extLst>
            <a:ext uri="{FF2B5EF4-FFF2-40B4-BE49-F238E27FC236}">
              <a16:creationId xmlns:a16="http://schemas.microsoft.com/office/drawing/2014/main" id="{1E03C922-00FE-F0D8-BEE3-EC3B36768A7A}"/>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25</xdr:row>
      <xdr:rowOff>47625</xdr:rowOff>
    </xdr:from>
    <xdr:to>
      <xdr:col>80</xdr:col>
      <xdr:colOff>0</xdr:colOff>
      <xdr:row>26</xdr:row>
      <xdr:rowOff>68671</xdr:rowOff>
    </xdr:to>
    <xdr:sp macro="" textlink="">
      <xdr:nvSpPr>
        <xdr:cNvPr id="192" name="Text Box 256">
          <a:extLst>
            <a:ext uri="{FF2B5EF4-FFF2-40B4-BE49-F238E27FC236}">
              <a16:creationId xmlns:a16="http://schemas.microsoft.com/office/drawing/2014/main" id="{D6A679DD-BFE9-F7FD-2DBF-F978B1EE986F}"/>
            </a:ext>
          </a:extLst>
        </xdr:cNvPr>
        <xdr:cNvSpPr txBox="1">
          <a:spLocks noChangeArrowheads="1"/>
        </xdr:cNvSpPr>
      </xdr:nvSpPr>
      <xdr:spPr bwMode="auto">
        <a:xfrm>
          <a:off x="7349490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26</xdr:row>
      <xdr:rowOff>49530</xdr:rowOff>
    </xdr:from>
    <xdr:to>
      <xdr:col>80</xdr:col>
      <xdr:colOff>0</xdr:colOff>
      <xdr:row>27</xdr:row>
      <xdr:rowOff>49530</xdr:rowOff>
    </xdr:to>
    <xdr:sp macro="" textlink="">
      <xdr:nvSpPr>
        <xdr:cNvPr id="193" name="Text Box 257">
          <a:extLst>
            <a:ext uri="{FF2B5EF4-FFF2-40B4-BE49-F238E27FC236}">
              <a16:creationId xmlns:a16="http://schemas.microsoft.com/office/drawing/2014/main" id="{24A2E883-91C1-4E28-AD4C-574E2EEFCD5B}"/>
            </a:ext>
          </a:extLst>
        </xdr:cNvPr>
        <xdr:cNvSpPr txBox="1">
          <a:spLocks noChangeArrowheads="1"/>
        </xdr:cNvSpPr>
      </xdr:nvSpPr>
      <xdr:spPr bwMode="auto">
        <a:xfrm>
          <a:off x="73494900"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43</xdr:row>
      <xdr:rowOff>49530</xdr:rowOff>
    </xdr:from>
    <xdr:to>
      <xdr:col>80</xdr:col>
      <xdr:colOff>0</xdr:colOff>
      <xdr:row>44</xdr:row>
      <xdr:rowOff>49530</xdr:rowOff>
    </xdr:to>
    <xdr:sp macro="" textlink="">
      <xdr:nvSpPr>
        <xdr:cNvPr id="194" name="Text Box 258">
          <a:extLst>
            <a:ext uri="{FF2B5EF4-FFF2-40B4-BE49-F238E27FC236}">
              <a16:creationId xmlns:a16="http://schemas.microsoft.com/office/drawing/2014/main" id="{A8AF37CA-D976-A7AE-401F-4EF53E23CF4D}"/>
            </a:ext>
          </a:extLst>
        </xdr:cNvPr>
        <xdr:cNvSpPr txBox="1">
          <a:spLocks noChangeArrowheads="1"/>
        </xdr:cNvSpPr>
      </xdr:nvSpPr>
      <xdr:spPr bwMode="auto">
        <a:xfrm>
          <a:off x="73494900"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25</xdr:row>
      <xdr:rowOff>47625</xdr:rowOff>
    </xdr:from>
    <xdr:to>
      <xdr:col>8</xdr:col>
      <xdr:colOff>0</xdr:colOff>
      <xdr:row>26</xdr:row>
      <xdr:rowOff>68671</xdr:rowOff>
    </xdr:to>
    <xdr:sp macro="" textlink="">
      <xdr:nvSpPr>
        <xdr:cNvPr id="200" name="Text Box 268">
          <a:extLst>
            <a:ext uri="{FF2B5EF4-FFF2-40B4-BE49-F238E27FC236}">
              <a16:creationId xmlns:a16="http://schemas.microsoft.com/office/drawing/2014/main" id="{13B6287A-FB0C-0F52-804A-FC0F65C0BA7F}"/>
            </a:ext>
          </a:extLst>
        </xdr:cNvPr>
        <xdr:cNvSpPr txBox="1">
          <a:spLocks noChangeArrowheads="1"/>
        </xdr:cNvSpPr>
      </xdr:nvSpPr>
      <xdr:spPr bwMode="auto">
        <a:xfrm>
          <a:off x="615315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26</xdr:row>
      <xdr:rowOff>49530</xdr:rowOff>
    </xdr:from>
    <xdr:to>
      <xdr:col>8</xdr:col>
      <xdr:colOff>0</xdr:colOff>
      <xdr:row>27</xdr:row>
      <xdr:rowOff>49530</xdr:rowOff>
    </xdr:to>
    <xdr:sp macro="" textlink="">
      <xdr:nvSpPr>
        <xdr:cNvPr id="201" name="Text Box 269">
          <a:extLst>
            <a:ext uri="{FF2B5EF4-FFF2-40B4-BE49-F238E27FC236}">
              <a16:creationId xmlns:a16="http://schemas.microsoft.com/office/drawing/2014/main" id="{2065BAF9-7493-C6D2-2DE9-CBC8811BEEDB}"/>
            </a:ext>
          </a:extLst>
        </xdr:cNvPr>
        <xdr:cNvSpPr txBox="1">
          <a:spLocks noChangeArrowheads="1"/>
        </xdr:cNvSpPr>
      </xdr:nvSpPr>
      <xdr:spPr bwMode="auto">
        <a:xfrm>
          <a:off x="6153150"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43</xdr:row>
      <xdr:rowOff>49530</xdr:rowOff>
    </xdr:from>
    <xdr:to>
      <xdr:col>8</xdr:col>
      <xdr:colOff>0</xdr:colOff>
      <xdr:row>44</xdr:row>
      <xdr:rowOff>49530</xdr:rowOff>
    </xdr:to>
    <xdr:sp macro="" textlink="">
      <xdr:nvSpPr>
        <xdr:cNvPr id="202" name="Text Box 270">
          <a:extLst>
            <a:ext uri="{FF2B5EF4-FFF2-40B4-BE49-F238E27FC236}">
              <a16:creationId xmlns:a16="http://schemas.microsoft.com/office/drawing/2014/main" id="{FB7AB9F1-B0BB-C8E6-9806-1AFF08691D72}"/>
            </a:ext>
          </a:extLst>
        </xdr:cNvPr>
        <xdr:cNvSpPr txBox="1">
          <a:spLocks noChangeArrowheads="1"/>
        </xdr:cNvSpPr>
      </xdr:nvSpPr>
      <xdr:spPr bwMode="auto">
        <a:xfrm>
          <a:off x="6153150"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25</xdr:row>
      <xdr:rowOff>47625</xdr:rowOff>
    </xdr:from>
    <xdr:to>
      <xdr:col>17</xdr:col>
      <xdr:colOff>0</xdr:colOff>
      <xdr:row>26</xdr:row>
      <xdr:rowOff>68671</xdr:rowOff>
    </xdr:to>
    <xdr:sp macro="" textlink="">
      <xdr:nvSpPr>
        <xdr:cNvPr id="203" name="Text Box 271">
          <a:extLst>
            <a:ext uri="{FF2B5EF4-FFF2-40B4-BE49-F238E27FC236}">
              <a16:creationId xmlns:a16="http://schemas.microsoft.com/office/drawing/2014/main" id="{29E1055E-1703-DF24-0F74-D1B747C82D55}"/>
            </a:ext>
          </a:extLst>
        </xdr:cNvPr>
        <xdr:cNvSpPr txBox="1">
          <a:spLocks noChangeArrowheads="1"/>
        </xdr:cNvSpPr>
      </xdr:nvSpPr>
      <xdr:spPr bwMode="auto">
        <a:xfrm>
          <a:off x="142398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17</xdr:col>
      <xdr:colOff>0</xdr:colOff>
      <xdr:row>26</xdr:row>
      <xdr:rowOff>49530</xdr:rowOff>
    </xdr:from>
    <xdr:to>
      <xdr:col>17</xdr:col>
      <xdr:colOff>0</xdr:colOff>
      <xdr:row>27</xdr:row>
      <xdr:rowOff>49530</xdr:rowOff>
    </xdr:to>
    <xdr:sp macro="" textlink="">
      <xdr:nvSpPr>
        <xdr:cNvPr id="204" name="Text Box 272">
          <a:extLst>
            <a:ext uri="{FF2B5EF4-FFF2-40B4-BE49-F238E27FC236}">
              <a16:creationId xmlns:a16="http://schemas.microsoft.com/office/drawing/2014/main" id="{C9EFDD36-5D4B-9996-1A72-0FCA029D2036}"/>
            </a:ext>
          </a:extLst>
        </xdr:cNvPr>
        <xdr:cNvSpPr txBox="1">
          <a:spLocks noChangeArrowheads="1"/>
        </xdr:cNvSpPr>
      </xdr:nvSpPr>
      <xdr:spPr bwMode="auto">
        <a:xfrm>
          <a:off x="142398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43</xdr:row>
      <xdr:rowOff>49530</xdr:rowOff>
    </xdr:from>
    <xdr:to>
      <xdr:col>17</xdr:col>
      <xdr:colOff>0</xdr:colOff>
      <xdr:row>44</xdr:row>
      <xdr:rowOff>49530</xdr:rowOff>
    </xdr:to>
    <xdr:sp macro="" textlink="">
      <xdr:nvSpPr>
        <xdr:cNvPr id="205" name="Text Box 273">
          <a:extLst>
            <a:ext uri="{FF2B5EF4-FFF2-40B4-BE49-F238E27FC236}">
              <a16:creationId xmlns:a16="http://schemas.microsoft.com/office/drawing/2014/main" id="{0EDF8820-F778-9F25-92B4-6BD242CF7B7C}"/>
            </a:ext>
          </a:extLst>
        </xdr:cNvPr>
        <xdr:cNvSpPr txBox="1">
          <a:spLocks noChangeArrowheads="1"/>
        </xdr:cNvSpPr>
      </xdr:nvSpPr>
      <xdr:spPr bwMode="auto">
        <a:xfrm>
          <a:off x="142398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25</xdr:row>
      <xdr:rowOff>47625</xdr:rowOff>
    </xdr:from>
    <xdr:to>
      <xdr:col>25</xdr:col>
      <xdr:colOff>0</xdr:colOff>
      <xdr:row>26</xdr:row>
      <xdr:rowOff>68671</xdr:rowOff>
    </xdr:to>
    <xdr:sp macro="" textlink="">
      <xdr:nvSpPr>
        <xdr:cNvPr id="206" name="Text Box 274">
          <a:extLst>
            <a:ext uri="{FF2B5EF4-FFF2-40B4-BE49-F238E27FC236}">
              <a16:creationId xmlns:a16="http://schemas.microsoft.com/office/drawing/2014/main" id="{41610A26-04E5-6134-47C7-ECFAD51FC2E9}"/>
            </a:ext>
          </a:extLst>
        </xdr:cNvPr>
        <xdr:cNvSpPr txBox="1">
          <a:spLocks noChangeArrowheads="1"/>
        </xdr:cNvSpPr>
      </xdr:nvSpPr>
      <xdr:spPr bwMode="auto">
        <a:xfrm>
          <a:off x="21631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25</xdr:col>
      <xdr:colOff>0</xdr:colOff>
      <xdr:row>26</xdr:row>
      <xdr:rowOff>49530</xdr:rowOff>
    </xdr:from>
    <xdr:to>
      <xdr:col>25</xdr:col>
      <xdr:colOff>0</xdr:colOff>
      <xdr:row>27</xdr:row>
      <xdr:rowOff>49530</xdr:rowOff>
    </xdr:to>
    <xdr:sp macro="" textlink="">
      <xdr:nvSpPr>
        <xdr:cNvPr id="207" name="Text Box 275">
          <a:extLst>
            <a:ext uri="{FF2B5EF4-FFF2-40B4-BE49-F238E27FC236}">
              <a16:creationId xmlns:a16="http://schemas.microsoft.com/office/drawing/2014/main" id="{52E241CD-C94D-46F7-D041-4AB193B84B28}"/>
            </a:ext>
          </a:extLst>
        </xdr:cNvPr>
        <xdr:cNvSpPr txBox="1">
          <a:spLocks noChangeArrowheads="1"/>
        </xdr:cNvSpPr>
      </xdr:nvSpPr>
      <xdr:spPr bwMode="auto">
        <a:xfrm>
          <a:off x="216312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43</xdr:row>
      <xdr:rowOff>49530</xdr:rowOff>
    </xdr:from>
    <xdr:to>
      <xdr:col>25</xdr:col>
      <xdr:colOff>0</xdr:colOff>
      <xdr:row>44</xdr:row>
      <xdr:rowOff>49530</xdr:rowOff>
    </xdr:to>
    <xdr:sp macro="" textlink="">
      <xdr:nvSpPr>
        <xdr:cNvPr id="208" name="Text Box 276">
          <a:extLst>
            <a:ext uri="{FF2B5EF4-FFF2-40B4-BE49-F238E27FC236}">
              <a16:creationId xmlns:a16="http://schemas.microsoft.com/office/drawing/2014/main" id="{84D4C212-0EF9-DD8A-017C-D73F4715DBAB}"/>
            </a:ext>
          </a:extLst>
        </xdr:cNvPr>
        <xdr:cNvSpPr txBox="1">
          <a:spLocks noChangeArrowheads="1"/>
        </xdr:cNvSpPr>
      </xdr:nvSpPr>
      <xdr:spPr bwMode="auto">
        <a:xfrm>
          <a:off x="216312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25</xdr:row>
      <xdr:rowOff>47625</xdr:rowOff>
    </xdr:from>
    <xdr:to>
      <xdr:col>33</xdr:col>
      <xdr:colOff>0</xdr:colOff>
      <xdr:row>26</xdr:row>
      <xdr:rowOff>68671</xdr:rowOff>
    </xdr:to>
    <xdr:sp macro="" textlink="">
      <xdr:nvSpPr>
        <xdr:cNvPr id="209" name="Text Box 277">
          <a:extLst>
            <a:ext uri="{FF2B5EF4-FFF2-40B4-BE49-F238E27FC236}">
              <a16:creationId xmlns:a16="http://schemas.microsoft.com/office/drawing/2014/main" id="{557C6498-4FB5-6F28-0B0B-3A9009C10BB0}"/>
            </a:ext>
          </a:extLst>
        </xdr:cNvPr>
        <xdr:cNvSpPr txBox="1">
          <a:spLocks noChangeArrowheads="1"/>
        </xdr:cNvSpPr>
      </xdr:nvSpPr>
      <xdr:spPr bwMode="auto">
        <a:xfrm>
          <a:off x="2904172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33</xdr:col>
      <xdr:colOff>0</xdr:colOff>
      <xdr:row>26</xdr:row>
      <xdr:rowOff>49530</xdr:rowOff>
    </xdr:from>
    <xdr:to>
      <xdr:col>33</xdr:col>
      <xdr:colOff>0</xdr:colOff>
      <xdr:row>27</xdr:row>
      <xdr:rowOff>49530</xdr:rowOff>
    </xdr:to>
    <xdr:sp macro="" textlink="">
      <xdr:nvSpPr>
        <xdr:cNvPr id="210" name="Text Box 278">
          <a:extLst>
            <a:ext uri="{FF2B5EF4-FFF2-40B4-BE49-F238E27FC236}">
              <a16:creationId xmlns:a16="http://schemas.microsoft.com/office/drawing/2014/main" id="{98EC8D38-3A3C-8661-CFB9-69281977159C}"/>
            </a:ext>
          </a:extLst>
        </xdr:cNvPr>
        <xdr:cNvSpPr txBox="1">
          <a:spLocks noChangeArrowheads="1"/>
        </xdr:cNvSpPr>
      </xdr:nvSpPr>
      <xdr:spPr bwMode="auto">
        <a:xfrm>
          <a:off x="2904172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43</xdr:row>
      <xdr:rowOff>49530</xdr:rowOff>
    </xdr:from>
    <xdr:to>
      <xdr:col>33</xdr:col>
      <xdr:colOff>0</xdr:colOff>
      <xdr:row>44</xdr:row>
      <xdr:rowOff>49530</xdr:rowOff>
    </xdr:to>
    <xdr:sp macro="" textlink="">
      <xdr:nvSpPr>
        <xdr:cNvPr id="211" name="Text Box 279">
          <a:extLst>
            <a:ext uri="{FF2B5EF4-FFF2-40B4-BE49-F238E27FC236}">
              <a16:creationId xmlns:a16="http://schemas.microsoft.com/office/drawing/2014/main" id="{507FBF3B-C1D7-1B47-C66B-01DCAE4E2B36}"/>
            </a:ext>
          </a:extLst>
        </xdr:cNvPr>
        <xdr:cNvSpPr txBox="1">
          <a:spLocks noChangeArrowheads="1"/>
        </xdr:cNvSpPr>
      </xdr:nvSpPr>
      <xdr:spPr bwMode="auto">
        <a:xfrm>
          <a:off x="2904172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25</xdr:row>
      <xdr:rowOff>47625</xdr:rowOff>
    </xdr:from>
    <xdr:to>
      <xdr:col>61</xdr:col>
      <xdr:colOff>0</xdr:colOff>
      <xdr:row>26</xdr:row>
      <xdr:rowOff>68671</xdr:rowOff>
    </xdr:to>
    <xdr:sp macro="" textlink="">
      <xdr:nvSpPr>
        <xdr:cNvPr id="218" name="Text Box 286">
          <a:extLst>
            <a:ext uri="{FF2B5EF4-FFF2-40B4-BE49-F238E27FC236}">
              <a16:creationId xmlns:a16="http://schemas.microsoft.com/office/drawing/2014/main" id="{FEF32903-9630-D062-37AA-BA8EC3A76ADB}"/>
            </a:ext>
          </a:extLst>
        </xdr:cNvPr>
        <xdr:cNvSpPr txBox="1">
          <a:spLocks noChangeArrowheads="1"/>
        </xdr:cNvSpPr>
      </xdr:nvSpPr>
      <xdr:spPr bwMode="auto">
        <a:xfrm>
          <a:off x="553116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61</xdr:col>
      <xdr:colOff>0</xdr:colOff>
      <xdr:row>26</xdr:row>
      <xdr:rowOff>49530</xdr:rowOff>
    </xdr:from>
    <xdr:to>
      <xdr:col>61</xdr:col>
      <xdr:colOff>0</xdr:colOff>
      <xdr:row>27</xdr:row>
      <xdr:rowOff>49530</xdr:rowOff>
    </xdr:to>
    <xdr:sp macro="" textlink="">
      <xdr:nvSpPr>
        <xdr:cNvPr id="219" name="Text Box 287">
          <a:extLst>
            <a:ext uri="{FF2B5EF4-FFF2-40B4-BE49-F238E27FC236}">
              <a16:creationId xmlns:a16="http://schemas.microsoft.com/office/drawing/2014/main" id="{AA695125-1C19-0880-8FB7-ED26CCA4FBDF}"/>
            </a:ext>
          </a:extLst>
        </xdr:cNvPr>
        <xdr:cNvSpPr txBox="1">
          <a:spLocks noChangeArrowheads="1"/>
        </xdr:cNvSpPr>
      </xdr:nvSpPr>
      <xdr:spPr bwMode="auto">
        <a:xfrm>
          <a:off x="553116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43</xdr:row>
      <xdr:rowOff>49530</xdr:rowOff>
    </xdr:from>
    <xdr:to>
      <xdr:col>61</xdr:col>
      <xdr:colOff>0</xdr:colOff>
      <xdr:row>44</xdr:row>
      <xdr:rowOff>49530</xdr:rowOff>
    </xdr:to>
    <xdr:sp macro="" textlink="">
      <xdr:nvSpPr>
        <xdr:cNvPr id="220" name="Text Box 288">
          <a:extLst>
            <a:ext uri="{FF2B5EF4-FFF2-40B4-BE49-F238E27FC236}">
              <a16:creationId xmlns:a16="http://schemas.microsoft.com/office/drawing/2014/main" id="{38FFC4C9-EB26-5D13-A00A-CC67112DACAC}"/>
            </a:ext>
          </a:extLst>
        </xdr:cNvPr>
        <xdr:cNvSpPr txBox="1">
          <a:spLocks noChangeArrowheads="1"/>
        </xdr:cNvSpPr>
      </xdr:nvSpPr>
      <xdr:spPr bwMode="auto">
        <a:xfrm>
          <a:off x="553116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25</xdr:row>
      <xdr:rowOff>47625</xdr:rowOff>
    </xdr:from>
    <xdr:to>
      <xdr:col>71</xdr:col>
      <xdr:colOff>0</xdr:colOff>
      <xdr:row>26</xdr:row>
      <xdr:rowOff>68671</xdr:rowOff>
    </xdr:to>
    <xdr:sp macro="" textlink="">
      <xdr:nvSpPr>
        <xdr:cNvPr id="221" name="Text Box 289">
          <a:extLst>
            <a:ext uri="{FF2B5EF4-FFF2-40B4-BE49-F238E27FC236}">
              <a16:creationId xmlns:a16="http://schemas.microsoft.com/office/drawing/2014/main" id="{1E417EA9-6552-4F4A-DF11-09D238120652}"/>
            </a:ext>
          </a:extLst>
        </xdr:cNvPr>
        <xdr:cNvSpPr txBox="1">
          <a:spLocks noChangeArrowheads="1"/>
        </xdr:cNvSpPr>
      </xdr:nvSpPr>
      <xdr:spPr bwMode="auto">
        <a:xfrm>
          <a:off x="64684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71</xdr:col>
      <xdr:colOff>0</xdr:colOff>
      <xdr:row>26</xdr:row>
      <xdr:rowOff>49530</xdr:rowOff>
    </xdr:from>
    <xdr:to>
      <xdr:col>71</xdr:col>
      <xdr:colOff>0</xdr:colOff>
      <xdr:row>27</xdr:row>
      <xdr:rowOff>49530</xdr:rowOff>
    </xdr:to>
    <xdr:sp macro="" textlink="">
      <xdr:nvSpPr>
        <xdr:cNvPr id="222" name="Text Box 290">
          <a:extLst>
            <a:ext uri="{FF2B5EF4-FFF2-40B4-BE49-F238E27FC236}">
              <a16:creationId xmlns:a16="http://schemas.microsoft.com/office/drawing/2014/main" id="{C0EF3CA6-0C5E-2430-E255-950D6FB1B315}"/>
            </a:ext>
          </a:extLst>
        </xdr:cNvPr>
        <xdr:cNvSpPr txBox="1">
          <a:spLocks noChangeArrowheads="1"/>
        </xdr:cNvSpPr>
      </xdr:nvSpPr>
      <xdr:spPr bwMode="auto">
        <a:xfrm>
          <a:off x="646842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43</xdr:row>
      <xdr:rowOff>49530</xdr:rowOff>
    </xdr:from>
    <xdr:to>
      <xdr:col>71</xdr:col>
      <xdr:colOff>0</xdr:colOff>
      <xdr:row>44</xdr:row>
      <xdr:rowOff>49530</xdr:rowOff>
    </xdr:to>
    <xdr:sp macro="" textlink="">
      <xdr:nvSpPr>
        <xdr:cNvPr id="223" name="Text Box 291">
          <a:extLst>
            <a:ext uri="{FF2B5EF4-FFF2-40B4-BE49-F238E27FC236}">
              <a16:creationId xmlns:a16="http://schemas.microsoft.com/office/drawing/2014/main" id="{8A1C632B-0F7B-324D-18E2-145120D42229}"/>
            </a:ext>
          </a:extLst>
        </xdr:cNvPr>
        <xdr:cNvSpPr txBox="1">
          <a:spLocks noChangeArrowheads="1"/>
        </xdr:cNvSpPr>
      </xdr:nvSpPr>
      <xdr:spPr bwMode="auto">
        <a:xfrm>
          <a:off x="646842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25</xdr:row>
      <xdr:rowOff>47625</xdr:rowOff>
    </xdr:from>
    <xdr:to>
      <xdr:col>80</xdr:col>
      <xdr:colOff>0</xdr:colOff>
      <xdr:row>26</xdr:row>
      <xdr:rowOff>68671</xdr:rowOff>
    </xdr:to>
    <xdr:sp macro="" textlink="">
      <xdr:nvSpPr>
        <xdr:cNvPr id="224" name="Text Box 292">
          <a:extLst>
            <a:ext uri="{FF2B5EF4-FFF2-40B4-BE49-F238E27FC236}">
              <a16:creationId xmlns:a16="http://schemas.microsoft.com/office/drawing/2014/main" id="{91E19AD5-4D9A-CE58-C21A-C369DDFD1B2A}"/>
            </a:ext>
          </a:extLst>
        </xdr:cNvPr>
        <xdr:cNvSpPr txBox="1">
          <a:spLocks noChangeArrowheads="1"/>
        </xdr:cNvSpPr>
      </xdr:nvSpPr>
      <xdr:spPr bwMode="auto">
        <a:xfrm>
          <a:off x="7349490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26</xdr:row>
      <xdr:rowOff>49530</xdr:rowOff>
    </xdr:from>
    <xdr:to>
      <xdr:col>80</xdr:col>
      <xdr:colOff>0</xdr:colOff>
      <xdr:row>27</xdr:row>
      <xdr:rowOff>49530</xdr:rowOff>
    </xdr:to>
    <xdr:sp macro="" textlink="">
      <xdr:nvSpPr>
        <xdr:cNvPr id="225" name="Text Box 293">
          <a:extLst>
            <a:ext uri="{FF2B5EF4-FFF2-40B4-BE49-F238E27FC236}">
              <a16:creationId xmlns:a16="http://schemas.microsoft.com/office/drawing/2014/main" id="{EE82734B-F203-BBE1-D5B7-968108AD62B2}"/>
            </a:ext>
          </a:extLst>
        </xdr:cNvPr>
        <xdr:cNvSpPr txBox="1">
          <a:spLocks noChangeArrowheads="1"/>
        </xdr:cNvSpPr>
      </xdr:nvSpPr>
      <xdr:spPr bwMode="auto">
        <a:xfrm>
          <a:off x="73494900"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43</xdr:row>
      <xdr:rowOff>49530</xdr:rowOff>
    </xdr:from>
    <xdr:to>
      <xdr:col>80</xdr:col>
      <xdr:colOff>0</xdr:colOff>
      <xdr:row>44</xdr:row>
      <xdr:rowOff>49530</xdr:rowOff>
    </xdr:to>
    <xdr:sp macro="" textlink="">
      <xdr:nvSpPr>
        <xdr:cNvPr id="226" name="Text Box 294">
          <a:extLst>
            <a:ext uri="{FF2B5EF4-FFF2-40B4-BE49-F238E27FC236}">
              <a16:creationId xmlns:a16="http://schemas.microsoft.com/office/drawing/2014/main" id="{A8E9D400-B555-DC88-C504-05A296CA90C3}"/>
            </a:ext>
          </a:extLst>
        </xdr:cNvPr>
        <xdr:cNvSpPr txBox="1">
          <a:spLocks noChangeArrowheads="1"/>
        </xdr:cNvSpPr>
      </xdr:nvSpPr>
      <xdr:spPr bwMode="auto">
        <a:xfrm>
          <a:off x="73494900"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26</xdr:row>
      <xdr:rowOff>53340</xdr:rowOff>
    </xdr:from>
    <xdr:to>
      <xdr:col>8</xdr:col>
      <xdr:colOff>0</xdr:colOff>
      <xdr:row>27</xdr:row>
      <xdr:rowOff>68580</xdr:rowOff>
    </xdr:to>
    <xdr:sp macro="" textlink="">
      <xdr:nvSpPr>
        <xdr:cNvPr id="1795" name="Text Box 366">
          <a:extLst>
            <a:ext uri="{FF2B5EF4-FFF2-40B4-BE49-F238E27FC236}">
              <a16:creationId xmlns:a16="http://schemas.microsoft.com/office/drawing/2014/main" id="{CABF2AB1-5F26-40C4-C8BC-39DACF112646}"/>
            </a:ext>
          </a:extLst>
        </xdr:cNvPr>
        <xdr:cNvSpPr txBox="1">
          <a:spLocks noChangeArrowheads="1"/>
        </xdr:cNvSpPr>
      </xdr:nvSpPr>
      <xdr:spPr bwMode="auto">
        <a:xfrm>
          <a:off x="7040880" y="350520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80</xdr:row>
      <xdr:rowOff>59055</xdr:rowOff>
    </xdr:from>
    <xdr:to>
      <xdr:col>8</xdr:col>
      <xdr:colOff>0</xdr:colOff>
      <xdr:row>81</xdr:row>
      <xdr:rowOff>49530</xdr:rowOff>
    </xdr:to>
    <xdr:sp macro="" textlink="">
      <xdr:nvSpPr>
        <xdr:cNvPr id="231" name="Text Box 370">
          <a:extLst>
            <a:ext uri="{FF2B5EF4-FFF2-40B4-BE49-F238E27FC236}">
              <a16:creationId xmlns:a16="http://schemas.microsoft.com/office/drawing/2014/main" id="{F43113DA-FD4C-9810-FB16-8828197011E1}"/>
            </a:ext>
          </a:extLst>
        </xdr:cNvPr>
        <xdr:cNvSpPr txBox="1">
          <a:spLocks noChangeArrowheads="1"/>
        </xdr:cNvSpPr>
      </xdr:nvSpPr>
      <xdr:spPr bwMode="auto">
        <a:xfrm>
          <a:off x="6153150"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26</xdr:row>
      <xdr:rowOff>53340</xdr:rowOff>
    </xdr:from>
    <xdr:to>
      <xdr:col>17</xdr:col>
      <xdr:colOff>0</xdr:colOff>
      <xdr:row>27</xdr:row>
      <xdr:rowOff>68580</xdr:rowOff>
    </xdr:to>
    <xdr:sp macro="" textlink="">
      <xdr:nvSpPr>
        <xdr:cNvPr id="1797" name="Text Box 372">
          <a:extLst>
            <a:ext uri="{FF2B5EF4-FFF2-40B4-BE49-F238E27FC236}">
              <a16:creationId xmlns:a16="http://schemas.microsoft.com/office/drawing/2014/main" id="{2078E4A8-7275-6A78-B444-2C6DCFC618F4}"/>
            </a:ext>
          </a:extLst>
        </xdr:cNvPr>
        <xdr:cNvSpPr txBox="1">
          <a:spLocks noChangeArrowheads="1"/>
        </xdr:cNvSpPr>
      </xdr:nvSpPr>
      <xdr:spPr bwMode="auto">
        <a:xfrm>
          <a:off x="12580620" y="350520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0</xdr:colOff>
      <xdr:row>80</xdr:row>
      <xdr:rowOff>59055</xdr:rowOff>
    </xdr:from>
    <xdr:to>
      <xdr:col>17</xdr:col>
      <xdr:colOff>0</xdr:colOff>
      <xdr:row>81</xdr:row>
      <xdr:rowOff>49530</xdr:rowOff>
    </xdr:to>
    <xdr:sp macro="" textlink="">
      <xdr:nvSpPr>
        <xdr:cNvPr id="233" name="Text Box 376">
          <a:extLst>
            <a:ext uri="{FF2B5EF4-FFF2-40B4-BE49-F238E27FC236}">
              <a16:creationId xmlns:a16="http://schemas.microsoft.com/office/drawing/2014/main" id="{C2CF73F7-B6F4-BE47-9E36-969B516610E3}"/>
            </a:ext>
          </a:extLst>
        </xdr:cNvPr>
        <xdr:cNvSpPr txBox="1">
          <a:spLocks noChangeArrowheads="1"/>
        </xdr:cNvSpPr>
      </xdr:nvSpPr>
      <xdr:spPr bwMode="auto">
        <a:xfrm>
          <a:off x="142398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26</xdr:row>
      <xdr:rowOff>53340</xdr:rowOff>
    </xdr:from>
    <xdr:to>
      <xdr:col>25</xdr:col>
      <xdr:colOff>0</xdr:colOff>
      <xdr:row>27</xdr:row>
      <xdr:rowOff>68580</xdr:rowOff>
    </xdr:to>
    <xdr:sp macro="" textlink="">
      <xdr:nvSpPr>
        <xdr:cNvPr id="1799" name="Text Box 378">
          <a:extLst>
            <a:ext uri="{FF2B5EF4-FFF2-40B4-BE49-F238E27FC236}">
              <a16:creationId xmlns:a16="http://schemas.microsoft.com/office/drawing/2014/main" id="{BE2D137E-8965-750C-DB85-9FAD4C229D56}"/>
            </a:ext>
          </a:extLst>
        </xdr:cNvPr>
        <xdr:cNvSpPr txBox="1">
          <a:spLocks noChangeArrowheads="1"/>
        </xdr:cNvSpPr>
      </xdr:nvSpPr>
      <xdr:spPr bwMode="auto">
        <a:xfrm>
          <a:off x="17640300" y="350520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0</xdr:colOff>
      <xdr:row>80</xdr:row>
      <xdr:rowOff>59055</xdr:rowOff>
    </xdr:from>
    <xdr:to>
      <xdr:col>25</xdr:col>
      <xdr:colOff>0</xdr:colOff>
      <xdr:row>81</xdr:row>
      <xdr:rowOff>49530</xdr:rowOff>
    </xdr:to>
    <xdr:sp macro="" textlink="">
      <xdr:nvSpPr>
        <xdr:cNvPr id="235" name="Text Box 382">
          <a:extLst>
            <a:ext uri="{FF2B5EF4-FFF2-40B4-BE49-F238E27FC236}">
              <a16:creationId xmlns:a16="http://schemas.microsoft.com/office/drawing/2014/main" id="{E5B04C4E-1A6B-787E-0F9D-446FE0C79BC3}"/>
            </a:ext>
          </a:extLst>
        </xdr:cNvPr>
        <xdr:cNvSpPr txBox="1">
          <a:spLocks noChangeArrowheads="1"/>
        </xdr:cNvSpPr>
      </xdr:nvSpPr>
      <xdr:spPr bwMode="auto">
        <a:xfrm>
          <a:off x="216312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26</xdr:row>
      <xdr:rowOff>53340</xdr:rowOff>
    </xdr:from>
    <xdr:to>
      <xdr:col>33</xdr:col>
      <xdr:colOff>0</xdr:colOff>
      <xdr:row>27</xdr:row>
      <xdr:rowOff>68580</xdr:rowOff>
    </xdr:to>
    <xdr:sp macro="" textlink="">
      <xdr:nvSpPr>
        <xdr:cNvPr id="1801" name="Text Box 384">
          <a:extLst>
            <a:ext uri="{FF2B5EF4-FFF2-40B4-BE49-F238E27FC236}">
              <a16:creationId xmlns:a16="http://schemas.microsoft.com/office/drawing/2014/main" id="{3DB1BA9E-D615-D9C8-104E-0E1649CB1420}"/>
            </a:ext>
          </a:extLst>
        </xdr:cNvPr>
        <xdr:cNvSpPr txBox="1">
          <a:spLocks noChangeArrowheads="1"/>
        </xdr:cNvSpPr>
      </xdr:nvSpPr>
      <xdr:spPr bwMode="auto">
        <a:xfrm>
          <a:off x="22837140" y="350520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0</xdr:colOff>
      <xdr:row>80</xdr:row>
      <xdr:rowOff>59055</xdr:rowOff>
    </xdr:from>
    <xdr:to>
      <xdr:col>33</xdr:col>
      <xdr:colOff>0</xdr:colOff>
      <xdr:row>81</xdr:row>
      <xdr:rowOff>49530</xdr:rowOff>
    </xdr:to>
    <xdr:sp macro="" textlink="">
      <xdr:nvSpPr>
        <xdr:cNvPr id="237" name="Text Box 388">
          <a:extLst>
            <a:ext uri="{FF2B5EF4-FFF2-40B4-BE49-F238E27FC236}">
              <a16:creationId xmlns:a16="http://schemas.microsoft.com/office/drawing/2014/main" id="{777F7354-811D-1C3A-0A6E-CFC9C8690F99}"/>
            </a:ext>
          </a:extLst>
        </xdr:cNvPr>
        <xdr:cNvSpPr txBox="1">
          <a:spLocks noChangeArrowheads="1"/>
        </xdr:cNvSpPr>
      </xdr:nvSpPr>
      <xdr:spPr bwMode="auto">
        <a:xfrm>
          <a:off x="2904172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26</xdr:row>
      <xdr:rowOff>53340</xdr:rowOff>
    </xdr:from>
    <xdr:to>
      <xdr:col>61</xdr:col>
      <xdr:colOff>0</xdr:colOff>
      <xdr:row>27</xdr:row>
      <xdr:rowOff>68580</xdr:rowOff>
    </xdr:to>
    <xdr:sp macro="" textlink="">
      <xdr:nvSpPr>
        <xdr:cNvPr id="1803" name="Text Box 402">
          <a:extLst>
            <a:ext uri="{FF2B5EF4-FFF2-40B4-BE49-F238E27FC236}">
              <a16:creationId xmlns:a16="http://schemas.microsoft.com/office/drawing/2014/main" id="{D1AE485D-233B-B02B-B5D8-B7D97BC8873C}"/>
            </a:ext>
          </a:extLst>
        </xdr:cNvPr>
        <xdr:cNvSpPr txBox="1">
          <a:spLocks noChangeArrowheads="1"/>
        </xdr:cNvSpPr>
      </xdr:nvSpPr>
      <xdr:spPr bwMode="auto">
        <a:xfrm>
          <a:off x="39502080" y="350520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61</xdr:col>
      <xdr:colOff>0</xdr:colOff>
      <xdr:row>80</xdr:row>
      <xdr:rowOff>59055</xdr:rowOff>
    </xdr:from>
    <xdr:to>
      <xdr:col>61</xdr:col>
      <xdr:colOff>0</xdr:colOff>
      <xdr:row>81</xdr:row>
      <xdr:rowOff>49530</xdr:rowOff>
    </xdr:to>
    <xdr:sp macro="" textlink="">
      <xdr:nvSpPr>
        <xdr:cNvPr id="243" name="Text Box 406">
          <a:extLst>
            <a:ext uri="{FF2B5EF4-FFF2-40B4-BE49-F238E27FC236}">
              <a16:creationId xmlns:a16="http://schemas.microsoft.com/office/drawing/2014/main" id="{32ED0AA6-AB4D-ACEB-C7A0-A307640E79D5}"/>
            </a:ext>
          </a:extLst>
        </xdr:cNvPr>
        <xdr:cNvSpPr txBox="1">
          <a:spLocks noChangeArrowheads="1"/>
        </xdr:cNvSpPr>
      </xdr:nvSpPr>
      <xdr:spPr bwMode="auto">
        <a:xfrm>
          <a:off x="553116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26</xdr:row>
      <xdr:rowOff>53340</xdr:rowOff>
    </xdr:from>
    <xdr:to>
      <xdr:col>71</xdr:col>
      <xdr:colOff>0</xdr:colOff>
      <xdr:row>27</xdr:row>
      <xdr:rowOff>68580</xdr:rowOff>
    </xdr:to>
    <xdr:sp macro="" textlink="">
      <xdr:nvSpPr>
        <xdr:cNvPr id="1805" name="Text Box 408">
          <a:extLst>
            <a:ext uri="{FF2B5EF4-FFF2-40B4-BE49-F238E27FC236}">
              <a16:creationId xmlns:a16="http://schemas.microsoft.com/office/drawing/2014/main" id="{F866B337-E6F1-E18F-2C56-F168B384E931}"/>
            </a:ext>
          </a:extLst>
        </xdr:cNvPr>
        <xdr:cNvSpPr txBox="1">
          <a:spLocks noChangeArrowheads="1"/>
        </xdr:cNvSpPr>
      </xdr:nvSpPr>
      <xdr:spPr bwMode="auto">
        <a:xfrm>
          <a:off x="46527720" y="350520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0</xdr:colOff>
      <xdr:row>80</xdr:row>
      <xdr:rowOff>59055</xdr:rowOff>
    </xdr:from>
    <xdr:to>
      <xdr:col>71</xdr:col>
      <xdr:colOff>0</xdr:colOff>
      <xdr:row>81</xdr:row>
      <xdr:rowOff>49530</xdr:rowOff>
    </xdr:to>
    <xdr:sp macro="" textlink="">
      <xdr:nvSpPr>
        <xdr:cNvPr id="245" name="Text Box 412">
          <a:extLst>
            <a:ext uri="{FF2B5EF4-FFF2-40B4-BE49-F238E27FC236}">
              <a16:creationId xmlns:a16="http://schemas.microsoft.com/office/drawing/2014/main" id="{1464A6AC-D8F6-6B92-EF56-28BE61682FF0}"/>
            </a:ext>
          </a:extLst>
        </xdr:cNvPr>
        <xdr:cNvSpPr txBox="1">
          <a:spLocks noChangeArrowheads="1"/>
        </xdr:cNvSpPr>
      </xdr:nvSpPr>
      <xdr:spPr bwMode="auto">
        <a:xfrm>
          <a:off x="646842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26</xdr:row>
      <xdr:rowOff>53340</xdr:rowOff>
    </xdr:from>
    <xdr:to>
      <xdr:col>80</xdr:col>
      <xdr:colOff>0</xdr:colOff>
      <xdr:row>27</xdr:row>
      <xdr:rowOff>68580</xdr:rowOff>
    </xdr:to>
    <xdr:sp macro="" textlink="">
      <xdr:nvSpPr>
        <xdr:cNvPr id="1807" name="Text Box 414">
          <a:extLst>
            <a:ext uri="{FF2B5EF4-FFF2-40B4-BE49-F238E27FC236}">
              <a16:creationId xmlns:a16="http://schemas.microsoft.com/office/drawing/2014/main" id="{9E548744-83A6-1925-80F1-B4F085CE167F}"/>
            </a:ext>
          </a:extLst>
        </xdr:cNvPr>
        <xdr:cNvSpPr txBox="1">
          <a:spLocks noChangeArrowheads="1"/>
        </xdr:cNvSpPr>
      </xdr:nvSpPr>
      <xdr:spPr bwMode="auto">
        <a:xfrm>
          <a:off x="53759100" y="350520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80</xdr:row>
      <xdr:rowOff>59055</xdr:rowOff>
    </xdr:from>
    <xdr:to>
      <xdr:col>80</xdr:col>
      <xdr:colOff>0</xdr:colOff>
      <xdr:row>81</xdr:row>
      <xdr:rowOff>49530</xdr:rowOff>
    </xdr:to>
    <xdr:sp macro="" textlink="">
      <xdr:nvSpPr>
        <xdr:cNvPr id="247" name="Text Box 418">
          <a:extLst>
            <a:ext uri="{FF2B5EF4-FFF2-40B4-BE49-F238E27FC236}">
              <a16:creationId xmlns:a16="http://schemas.microsoft.com/office/drawing/2014/main" id="{1DCB24C9-4B94-AF18-A529-05B05CDB4588}"/>
            </a:ext>
          </a:extLst>
        </xdr:cNvPr>
        <xdr:cNvSpPr txBox="1">
          <a:spLocks noChangeArrowheads="1"/>
        </xdr:cNvSpPr>
      </xdr:nvSpPr>
      <xdr:spPr bwMode="auto">
        <a:xfrm>
          <a:off x="73494900"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809" name="Text Box 449">
          <a:extLst>
            <a:ext uri="{FF2B5EF4-FFF2-40B4-BE49-F238E27FC236}">
              <a16:creationId xmlns:a16="http://schemas.microsoft.com/office/drawing/2014/main" id="{DB6878CF-694E-32FC-ED76-76B01026CD9E}"/>
            </a:ext>
          </a:extLst>
        </xdr:cNvPr>
        <xdr:cNvSpPr txBox="1">
          <a:spLocks noChangeArrowheads="1"/>
        </xdr:cNvSpPr>
      </xdr:nvSpPr>
      <xdr:spPr bwMode="auto">
        <a:xfrm>
          <a:off x="1059180" y="376428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810" name="Text Box 452">
          <a:extLst>
            <a:ext uri="{FF2B5EF4-FFF2-40B4-BE49-F238E27FC236}">
              <a16:creationId xmlns:a16="http://schemas.microsoft.com/office/drawing/2014/main" id="{ECB59F75-49DC-69E4-1275-5BEB6B2D521C}"/>
            </a:ext>
          </a:extLst>
        </xdr:cNvPr>
        <xdr:cNvSpPr txBox="1">
          <a:spLocks noChangeArrowheads="1"/>
        </xdr:cNvSpPr>
      </xdr:nvSpPr>
      <xdr:spPr bwMode="auto">
        <a:xfrm>
          <a:off x="1059180" y="376428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25</xdr:row>
      <xdr:rowOff>59055</xdr:rowOff>
    </xdr:from>
    <xdr:to>
      <xdr:col>8</xdr:col>
      <xdr:colOff>0</xdr:colOff>
      <xdr:row>26</xdr:row>
      <xdr:rowOff>68580</xdr:rowOff>
    </xdr:to>
    <xdr:sp macro="" textlink="">
      <xdr:nvSpPr>
        <xdr:cNvPr id="252" name="Text Box 454">
          <a:extLst>
            <a:ext uri="{FF2B5EF4-FFF2-40B4-BE49-F238E27FC236}">
              <a16:creationId xmlns:a16="http://schemas.microsoft.com/office/drawing/2014/main" id="{04F1980F-CB43-489C-4757-E37BFADE3557}"/>
            </a:ext>
          </a:extLst>
        </xdr:cNvPr>
        <xdr:cNvSpPr txBox="1">
          <a:spLocks noChangeArrowheads="1"/>
        </xdr:cNvSpPr>
      </xdr:nvSpPr>
      <xdr:spPr bwMode="auto">
        <a:xfrm>
          <a:off x="6153150"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26</xdr:row>
      <xdr:rowOff>59055</xdr:rowOff>
    </xdr:from>
    <xdr:to>
      <xdr:col>8</xdr:col>
      <xdr:colOff>0</xdr:colOff>
      <xdr:row>27</xdr:row>
      <xdr:rowOff>59055</xdr:rowOff>
    </xdr:to>
    <xdr:sp macro="" textlink="">
      <xdr:nvSpPr>
        <xdr:cNvPr id="253" name="Text Box 455">
          <a:extLst>
            <a:ext uri="{FF2B5EF4-FFF2-40B4-BE49-F238E27FC236}">
              <a16:creationId xmlns:a16="http://schemas.microsoft.com/office/drawing/2014/main" id="{8B83E37C-5BA7-D65D-2134-926035A59834}"/>
            </a:ext>
          </a:extLst>
        </xdr:cNvPr>
        <xdr:cNvSpPr txBox="1">
          <a:spLocks noChangeArrowheads="1"/>
        </xdr:cNvSpPr>
      </xdr:nvSpPr>
      <xdr:spPr bwMode="auto">
        <a:xfrm>
          <a:off x="6153150"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28</xdr:row>
      <xdr:rowOff>53340</xdr:rowOff>
    </xdr:from>
    <xdr:to>
      <xdr:col>8</xdr:col>
      <xdr:colOff>0</xdr:colOff>
      <xdr:row>29</xdr:row>
      <xdr:rowOff>68580</xdr:rowOff>
    </xdr:to>
    <xdr:sp macro="" textlink="">
      <xdr:nvSpPr>
        <xdr:cNvPr id="1813" name="Text Box 456">
          <a:extLst>
            <a:ext uri="{FF2B5EF4-FFF2-40B4-BE49-F238E27FC236}">
              <a16:creationId xmlns:a16="http://schemas.microsoft.com/office/drawing/2014/main" id="{89AF94A2-85F3-C736-9778-8186E400059C}"/>
            </a:ext>
          </a:extLst>
        </xdr:cNvPr>
        <xdr:cNvSpPr txBox="1">
          <a:spLocks noChangeArrowheads="1"/>
        </xdr:cNvSpPr>
      </xdr:nvSpPr>
      <xdr:spPr bwMode="auto">
        <a:xfrm>
          <a:off x="7040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28</xdr:row>
      <xdr:rowOff>53340</xdr:rowOff>
    </xdr:from>
    <xdr:to>
      <xdr:col>8</xdr:col>
      <xdr:colOff>0</xdr:colOff>
      <xdr:row>29</xdr:row>
      <xdr:rowOff>68580</xdr:rowOff>
    </xdr:to>
    <xdr:sp macro="" textlink="">
      <xdr:nvSpPr>
        <xdr:cNvPr id="1814" name="Text Box 457">
          <a:extLst>
            <a:ext uri="{FF2B5EF4-FFF2-40B4-BE49-F238E27FC236}">
              <a16:creationId xmlns:a16="http://schemas.microsoft.com/office/drawing/2014/main" id="{36999928-1B7A-2144-7B4C-B7A09CF9D51D}"/>
            </a:ext>
          </a:extLst>
        </xdr:cNvPr>
        <xdr:cNvSpPr txBox="1">
          <a:spLocks noChangeArrowheads="1"/>
        </xdr:cNvSpPr>
      </xdr:nvSpPr>
      <xdr:spPr bwMode="auto">
        <a:xfrm>
          <a:off x="7040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0</xdr:colOff>
      <xdr:row>25</xdr:row>
      <xdr:rowOff>59055</xdr:rowOff>
    </xdr:from>
    <xdr:to>
      <xdr:col>17</xdr:col>
      <xdr:colOff>0</xdr:colOff>
      <xdr:row>26</xdr:row>
      <xdr:rowOff>68580</xdr:rowOff>
    </xdr:to>
    <xdr:sp macro="" textlink="">
      <xdr:nvSpPr>
        <xdr:cNvPr id="256" name="Text Box 458">
          <a:extLst>
            <a:ext uri="{FF2B5EF4-FFF2-40B4-BE49-F238E27FC236}">
              <a16:creationId xmlns:a16="http://schemas.microsoft.com/office/drawing/2014/main" id="{3AEEB287-C7B2-1CC3-1DCD-E225C10B6629}"/>
            </a:ext>
          </a:extLst>
        </xdr:cNvPr>
        <xdr:cNvSpPr txBox="1">
          <a:spLocks noChangeArrowheads="1"/>
        </xdr:cNvSpPr>
      </xdr:nvSpPr>
      <xdr:spPr bwMode="auto">
        <a:xfrm>
          <a:off x="1423987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17</xdr:col>
      <xdr:colOff>0</xdr:colOff>
      <xdr:row>26</xdr:row>
      <xdr:rowOff>59055</xdr:rowOff>
    </xdr:from>
    <xdr:to>
      <xdr:col>17</xdr:col>
      <xdr:colOff>0</xdr:colOff>
      <xdr:row>27</xdr:row>
      <xdr:rowOff>59055</xdr:rowOff>
    </xdr:to>
    <xdr:sp macro="" textlink="">
      <xdr:nvSpPr>
        <xdr:cNvPr id="257" name="Text Box 459">
          <a:extLst>
            <a:ext uri="{FF2B5EF4-FFF2-40B4-BE49-F238E27FC236}">
              <a16:creationId xmlns:a16="http://schemas.microsoft.com/office/drawing/2014/main" id="{8906D526-EFE2-FDEE-D1DB-BBB7A3F9EF9F}"/>
            </a:ext>
          </a:extLst>
        </xdr:cNvPr>
        <xdr:cNvSpPr txBox="1">
          <a:spLocks noChangeArrowheads="1"/>
        </xdr:cNvSpPr>
      </xdr:nvSpPr>
      <xdr:spPr bwMode="auto">
        <a:xfrm>
          <a:off x="1423987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28</xdr:row>
      <xdr:rowOff>53340</xdr:rowOff>
    </xdr:from>
    <xdr:to>
      <xdr:col>17</xdr:col>
      <xdr:colOff>0</xdr:colOff>
      <xdr:row>29</xdr:row>
      <xdr:rowOff>68580</xdr:rowOff>
    </xdr:to>
    <xdr:sp macro="" textlink="">
      <xdr:nvSpPr>
        <xdr:cNvPr id="1817" name="Text Box 460">
          <a:extLst>
            <a:ext uri="{FF2B5EF4-FFF2-40B4-BE49-F238E27FC236}">
              <a16:creationId xmlns:a16="http://schemas.microsoft.com/office/drawing/2014/main" id="{B344020F-2C3E-1BD6-0427-BF38B64A9A0C}"/>
            </a:ext>
          </a:extLst>
        </xdr:cNvPr>
        <xdr:cNvSpPr txBox="1">
          <a:spLocks noChangeArrowheads="1"/>
        </xdr:cNvSpPr>
      </xdr:nvSpPr>
      <xdr:spPr bwMode="auto">
        <a:xfrm>
          <a:off x="125806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0</xdr:colOff>
      <xdr:row>28</xdr:row>
      <xdr:rowOff>53340</xdr:rowOff>
    </xdr:from>
    <xdr:to>
      <xdr:col>17</xdr:col>
      <xdr:colOff>0</xdr:colOff>
      <xdr:row>29</xdr:row>
      <xdr:rowOff>68580</xdr:rowOff>
    </xdr:to>
    <xdr:sp macro="" textlink="">
      <xdr:nvSpPr>
        <xdr:cNvPr id="1818" name="Text Box 461">
          <a:extLst>
            <a:ext uri="{FF2B5EF4-FFF2-40B4-BE49-F238E27FC236}">
              <a16:creationId xmlns:a16="http://schemas.microsoft.com/office/drawing/2014/main" id="{E250FCB9-3CC3-5D37-127C-E62B4FD0B98F}"/>
            </a:ext>
          </a:extLst>
        </xdr:cNvPr>
        <xdr:cNvSpPr txBox="1">
          <a:spLocks noChangeArrowheads="1"/>
        </xdr:cNvSpPr>
      </xdr:nvSpPr>
      <xdr:spPr bwMode="auto">
        <a:xfrm>
          <a:off x="125806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0</xdr:colOff>
      <xdr:row>25</xdr:row>
      <xdr:rowOff>59055</xdr:rowOff>
    </xdr:from>
    <xdr:to>
      <xdr:col>25</xdr:col>
      <xdr:colOff>0</xdr:colOff>
      <xdr:row>26</xdr:row>
      <xdr:rowOff>68580</xdr:rowOff>
    </xdr:to>
    <xdr:sp macro="" textlink="">
      <xdr:nvSpPr>
        <xdr:cNvPr id="260" name="Text Box 462">
          <a:extLst>
            <a:ext uri="{FF2B5EF4-FFF2-40B4-BE49-F238E27FC236}">
              <a16:creationId xmlns:a16="http://schemas.microsoft.com/office/drawing/2014/main" id="{0C0C1346-8243-2854-38D9-11FEB453B040}"/>
            </a:ext>
          </a:extLst>
        </xdr:cNvPr>
        <xdr:cNvSpPr txBox="1">
          <a:spLocks noChangeArrowheads="1"/>
        </xdr:cNvSpPr>
      </xdr:nvSpPr>
      <xdr:spPr bwMode="auto">
        <a:xfrm>
          <a:off x="2163127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25</xdr:col>
      <xdr:colOff>0</xdr:colOff>
      <xdr:row>26</xdr:row>
      <xdr:rowOff>59055</xdr:rowOff>
    </xdr:from>
    <xdr:to>
      <xdr:col>25</xdr:col>
      <xdr:colOff>0</xdr:colOff>
      <xdr:row>27</xdr:row>
      <xdr:rowOff>59055</xdr:rowOff>
    </xdr:to>
    <xdr:sp macro="" textlink="">
      <xdr:nvSpPr>
        <xdr:cNvPr id="261" name="Text Box 463">
          <a:extLst>
            <a:ext uri="{FF2B5EF4-FFF2-40B4-BE49-F238E27FC236}">
              <a16:creationId xmlns:a16="http://schemas.microsoft.com/office/drawing/2014/main" id="{2CF7130C-AF3F-E0A7-ABA9-F692D4719F6A}"/>
            </a:ext>
          </a:extLst>
        </xdr:cNvPr>
        <xdr:cNvSpPr txBox="1">
          <a:spLocks noChangeArrowheads="1"/>
        </xdr:cNvSpPr>
      </xdr:nvSpPr>
      <xdr:spPr bwMode="auto">
        <a:xfrm>
          <a:off x="2163127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28</xdr:row>
      <xdr:rowOff>53340</xdr:rowOff>
    </xdr:from>
    <xdr:to>
      <xdr:col>25</xdr:col>
      <xdr:colOff>0</xdr:colOff>
      <xdr:row>29</xdr:row>
      <xdr:rowOff>68580</xdr:rowOff>
    </xdr:to>
    <xdr:sp macro="" textlink="">
      <xdr:nvSpPr>
        <xdr:cNvPr id="1821" name="Text Box 464">
          <a:extLst>
            <a:ext uri="{FF2B5EF4-FFF2-40B4-BE49-F238E27FC236}">
              <a16:creationId xmlns:a16="http://schemas.microsoft.com/office/drawing/2014/main" id="{D3404735-EBAF-4CA1-C099-558F4A61F880}"/>
            </a:ext>
          </a:extLst>
        </xdr:cNvPr>
        <xdr:cNvSpPr txBox="1">
          <a:spLocks noChangeArrowheads="1"/>
        </xdr:cNvSpPr>
      </xdr:nvSpPr>
      <xdr:spPr bwMode="auto">
        <a:xfrm>
          <a:off x="176403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0</xdr:colOff>
      <xdr:row>28</xdr:row>
      <xdr:rowOff>53340</xdr:rowOff>
    </xdr:from>
    <xdr:to>
      <xdr:col>25</xdr:col>
      <xdr:colOff>0</xdr:colOff>
      <xdr:row>29</xdr:row>
      <xdr:rowOff>68580</xdr:rowOff>
    </xdr:to>
    <xdr:sp macro="" textlink="">
      <xdr:nvSpPr>
        <xdr:cNvPr id="1822" name="Text Box 465">
          <a:extLst>
            <a:ext uri="{FF2B5EF4-FFF2-40B4-BE49-F238E27FC236}">
              <a16:creationId xmlns:a16="http://schemas.microsoft.com/office/drawing/2014/main" id="{EDD9673B-C573-9D77-5954-6913B3997C70}"/>
            </a:ext>
          </a:extLst>
        </xdr:cNvPr>
        <xdr:cNvSpPr txBox="1">
          <a:spLocks noChangeArrowheads="1"/>
        </xdr:cNvSpPr>
      </xdr:nvSpPr>
      <xdr:spPr bwMode="auto">
        <a:xfrm>
          <a:off x="176403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0</xdr:colOff>
      <xdr:row>25</xdr:row>
      <xdr:rowOff>59055</xdr:rowOff>
    </xdr:from>
    <xdr:to>
      <xdr:col>33</xdr:col>
      <xdr:colOff>0</xdr:colOff>
      <xdr:row>26</xdr:row>
      <xdr:rowOff>68580</xdr:rowOff>
    </xdr:to>
    <xdr:sp macro="" textlink="">
      <xdr:nvSpPr>
        <xdr:cNvPr id="264" name="Text Box 466">
          <a:extLst>
            <a:ext uri="{FF2B5EF4-FFF2-40B4-BE49-F238E27FC236}">
              <a16:creationId xmlns:a16="http://schemas.microsoft.com/office/drawing/2014/main" id="{7E31EF5D-FC17-090E-3C16-81030ED650E8}"/>
            </a:ext>
          </a:extLst>
        </xdr:cNvPr>
        <xdr:cNvSpPr txBox="1">
          <a:spLocks noChangeArrowheads="1"/>
        </xdr:cNvSpPr>
      </xdr:nvSpPr>
      <xdr:spPr bwMode="auto">
        <a:xfrm>
          <a:off x="2904172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33</xdr:col>
      <xdr:colOff>0</xdr:colOff>
      <xdr:row>26</xdr:row>
      <xdr:rowOff>59055</xdr:rowOff>
    </xdr:from>
    <xdr:to>
      <xdr:col>33</xdr:col>
      <xdr:colOff>0</xdr:colOff>
      <xdr:row>27</xdr:row>
      <xdr:rowOff>59055</xdr:rowOff>
    </xdr:to>
    <xdr:sp macro="" textlink="">
      <xdr:nvSpPr>
        <xdr:cNvPr id="265" name="Text Box 467">
          <a:extLst>
            <a:ext uri="{FF2B5EF4-FFF2-40B4-BE49-F238E27FC236}">
              <a16:creationId xmlns:a16="http://schemas.microsoft.com/office/drawing/2014/main" id="{8E77119D-FC5A-8DA0-5D9C-CF1DD3DD3C51}"/>
            </a:ext>
          </a:extLst>
        </xdr:cNvPr>
        <xdr:cNvSpPr txBox="1">
          <a:spLocks noChangeArrowheads="1"/>
        </xdr:cNvSpPr>
      </xdr:nvSpPr>
      <xdr:spPr bwMode="auto">
        <a:xfrm>
          <a:off x="2904172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28</xdr:row>
      <xdr:rowOff>53340</xdr:rowOff>
    </xdr:from>
    <xdr:to>
      <xdr:col>33</xdr:col>
      <xdr:colOff>0</xdr:colOff>
      <xdr:row>29</xdr:row>
      <xdr:rowOff>68580</xdr:rowOff>
    </xdr:to>
    <xdr:sp macro="" textlink="">
      <xdr:nvSpPr>
        <xdr:cNvPr id="1825" name="Text Box 468">
          <a:extLst>
            <a:ext uri="{FF2B5EF4-FFF2-40B4-BE49-F238E27FC236}">
              <a16:creationId xmlns:a16="http://schemas.microsoft.com/office/drawing/2014/main" id="{3F6781A4-47A3-B764-BF39-CEB6A447819F}"/>
            </a:ext>
          </a:extLst>
        </xdr:cNvPr>
        <xdr:cNvSpPr txBox="1">
          <a:spLocks noChangeArrowheads="1"/>
        </xdr:cNvSpPr>
      </xdr:nvSpPr>
      <xdr:spPr bwMode="auto">
        <a:xfrm>
          <a:off x="228371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0</xdr:colOff>
      <xdr:row>28</xdr:row>
      <xdr:rowOff>53340</xdr:rowOff>
    </xdr:from>
    <xdr:to>
      <xdr:col>33</xdr:col>
      <xdr:colOff>0</xdr:colOff>
      <xdr:row>29</xdr:row>
      <xdr:rowOff>68580</xdr:rowOff>
    </xdr:to>
    <xdr:sp macro="" textlink="">
      <xdr:nvSpPr>
        <xdr:cNvPr id="1826" name="Text Box 469">
          <a:extLst>
            <a:ext uri="{FF2B5EF4-FFF2-40B4-BE49-F238E27FC236}">
              <a16:creationId xmlns:a16="http://schemas.microsoft.com/office/drawing/2014/main" id="{57916B13-625A-CA3A-64F4-12D696244985}"/>
            </a:ext>
          </a:extLst>
        </xdr:cNvPr>
        <xdr:cNvSpPr txBox="1">
          <a:spLocks noChangeArrowheads="1"/>
        </xdr:cNvSpPr>
      </xdr:nvSpPr>
      <xdr:spPr bwMode="auto">
        <a:xfrm>
          <a:off x="228371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61</xdr:col>
      <xdr:colOff>0</xdr:colOff>
      <xdr:row>25</xdr:row>
      <xdr:rowOff>59055</xdr:rowOff>
    </xdr:from>
    <xdr:to>
      <xdr:col>61</xdr:col>
      <xdr:colOff>0</xdr:colOff>
      <xdr:row>26</xdr:row>
      <xdr:rowOff>68580</xdr:rowOff>
    </xdr:to>
    <xdr:sp macro="" textlink="">
      <xdr:nvSpPr>
        <xdr:cNvPr id="276" name="Text Box 478">
          <a:extLst>
            <a:ext uri="{FF2B5EF4-FFF2-40B4-BE49-F238E27FC236}">
              <a16:creationId xmlns:a16="http://schemas.microsoft.com/office/drawing/2014/main" id="{A19792D4-DC1F-81D2-A496-1DEA32040DC7}"/>
            </a:ext>
          </a:extLst>
        </xdr:cNvPr>
        <xdr:cNvSpPr txBox="1">
          <a:spLocks noChangeArrowheads="1"/>
        </xdr:cNvSpPr>
      </xdr:nvSpPr>
      <xdr:spPr bwMode="auto">
        <a:xfrm>
          <a:off x="5531167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61</xdr:col>
      <xdr:colOff>0</xdr:colOff>
      <xdr:row>26</xdr:row>
      <xdr:rowOff>59055</xdr:rowOff>
    </xdr:from>
    <xdr:to>
      <xdr:col>61</xdr:col>
      <xdr:colOff>0</xdr:colOff>
      <xdr:row>27</xdr:row>
      <xdr:rowOff>59055</xdr:rowOff>
    </xdr:to>
    <xdr:sp macro="" textlink="">
      <xdr:nvSpPr>
        <xdr:cNvPr id="277" name="Text Box 479">
          <a:extLst>
            <a:ext uri="{FF2B5EF4-FFF2-40B4-BE49-F238E27FC236}">
              <a16:creationId xmlns:a16="http://schemas.microsoft.com/office/drawing/2014/main" id="{7F435741-A01B-2C1D-CF29-57A9CE8BD86C}"/>
            </a:ext>
          </a:extLst>
        </xdr:cNvPr>
        <xdr:cNvSpPr txBox="1">
          <a:spLocks noChangeArrowheads="1"/>
        </xdr:cNvSpPr>
      </xdr:nvSpPr>
      <xdr:spPr bwMode="auto">
        <a:xfrm>
          <a:off x="5531167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28</xdr:row>
      <xdr:rowOff>53340</xdr:rowOff>
    </xdr:from>
    <xdr:to>
      <xdr:col>61</xdr:col>
      <xdr:colOff>0</xdr:colOff>
      <xdr:row>29</xdr:row>
      <xdr:rowOff>68580</xdr:rowOff>
    </xdr:to>
    <xdr:sp macro="" textlink="">
      <xdr:nvSpPr>
        <xdr:cNvPr id="1829" name="Text Box 480">
          <a:extLst>
            <a:ext uri="{FF2B5EF4-FFF2-40B4-BE49-F238E27FC236}">
              <a16:creationId xmlns:a16="http://schemas.microsoft.com/office/drawing/2014/main" id="{4F71A31A-45C7-4138-31AF-A11C6EE388B8}"/>
            </a:ext>
          </a:extLst>
        </xdr:cNvPr>
        <xdr:cNvSpPr txBox="1">
          <a:spLocks noChangeArrowheads="1"/>
        </xdr:cNvSpPr>
      </xdr:nvSpPr>
      <xdr:spPr bwMode="auto">
        <a:xfrm>
          <a:off x="395020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61</xdr:col>
      <xdr:colOff>0</xdr:colOff>
      <xdr:row>28</xdr:row>
      <xdr:rowOff>53340</xdr:rowOff>
    </xdr:from>
    <xdr:to>
      <xdr:col>61</xdr:col>
      <xdr:colOff>0</xdr:colOff>
      <xdr:row>29</xdr:row>
      <xdr:rowOff>68580</xdr:rowOff>
    </xdr:to>
    <xdr:sp macro="" textlink="">
      <xdr:nvSpPr>
        <xdr:cNvPr id="1830" name="Text Box 481">
          <a:extLst>
            <a:ext uri="{FF2B5EF4-FFF2-40B4-BE49-F238E27FC236}">
              <a16:creationId xmlns:a16="http://schemas.microsoft.com/office/drawing/2014/main" id="{208F4B59-9084-C136-AD80-483E60CEC352}"/>
            </a:ext>
          </a:extLst>
        </xdr:cNvPr>
        <xdr:cNvSpPr txBox="1">
          <a:spLocks noChangeArrowheads="1"/>
        </xdr:cNvSpPr>
      </xdr:nvSpPr>
      <xdr:spPr bwMode="auto">
        <a:xfrm>
          <a:off x="395020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0</xdr:colOff>
      <xdr:row>25</xdr:row>
      <xdr:rowOff>59055</xdr:rowOff>
    </xdr:from>
    <xdr:to>
      <xdr:col>71</xdr:col>
      <xdr:colOff>0</xdr:colOff>
      <xdr:row>26</xdr:row>
      <xdr:rowOff>68580</xdr:rowOff>
    </xdr:to>
    <xdr:sp macro="" textlink="">
      <xdr:nvSpPr>
        <xdr:cNvPr id="280" name="Text Box 482">
          <a:extLst>
            <a:ext uri="{FF2B5EF4-FFF2-40B4-BE49-F238E27FC236}">
              <a16:creationId xmlns:a16="http://schemas.microsoft.com/office/drawing/2014/main" id="{579F8290-07C5-2CC8-C1A7-451D670E26FC}"/>
            </a:ext>
          </a:extLst>
        </xdr:cNvPr>
        <xdr:cNvSpPr txBox="1">
          <a:spLocks noChangeArrowheads="1"/>
        </xdr:cNvSpPr>
      </xdr:nvSpPr>
      <xdr:spPr bwMode="auto">
        <a:xfrm>
          <a:off x="6468427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71</xdr:col>
      <xdr:colOff>0</xdr:colOff>
      <xdr:row>26</xdr:row>
      <xdr:rowOff>59055</xdr:rowOff>
    </xdr:from>
    <xdr:to>
      <xdr:col>71</xdr:col>
      <xdr:colOff>0</xdr:colOff>
      <xdr:row>27</xdr:row>
      <xdr:rowOff>59055</xdr:rowOff>
    </xdr:to>
    <xdr:sp macro="" textlink="">
      <xdr:nvSpPr>
        <xdr:cNvPr id="281" name="Text Box 483">
          <a:extLst>
            <a:ext uri="{FF2B5EF4-FFF2-40B4-BE49-F238E27FC236}">
              <a16:creationId xmlns:a16="http://schemas.microsoft.com/office/drawing/2014/main" id="{47AEA777-580C-C3B1-FD11-2DF3612F7169}"/>
            </a:ext>
          </a:extLst>
        </xdr:cNvPr>
        <xdr:cNvSpPr txBox="1">
          <a:spLocks noChangeArrowheads="1"/>
        </xdr:cNvSpPr>
      </xdr:nvSpPr>
      <xdr:spPr bwMode="auto">
        <a:xfrm>
          <a:off x="6468427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28</xdr:row>
      <xdr:rowOff>53340</xdr:rowOff>
    </xdr:from>
    <xdr:to>
      <xdr:col>71</xdr:col>
      <xdr:colOff>0</xdr:colOff>
      <xdr:row>29</xdr:row>
      <xdr:rowOff>68580</xdr:rowOff>
    </xdr:to>
    <xdr:sp macro="" textlink="">
      <xdr:nvSpPr>
        <xdr:cNvPr id="1833" name="Text Box 484">
          <a:extLst>
            <a:ext uri="{FF2B5EF4-FFF2-40B4-BE49-F238E27FC236}">
              <a16:creationId xmlns:a16="http://schemas.microsoft.com/office/drawing/2014/main" id="{4F62B78B-6AA0-2825-CDA2-88746F6C4E1A}"/>
            </a:ext>
          </a:extLst>
        </xdr:cNvPr>
        <xdr:cNvSpPr txBox="1">
          <a:spLocks noChangeArrowheads="1"/>
        </xdr:cNvSpPr>
      </xdr:nvSpPr>
      <xdr:spPr bwMode="auto">
        <a:xfrm>
          <a:off x="465277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0</xdr:colOff>
      <xdr:row>28</xdr:row>
      <xdr:rowOff>53340</xdr:rowOff>
    </xdr:from>
    <xdr:to>
      <xdr:col>71</xdr:col>
      <xdr:colOff>0</xdr:colOff>
      <xdr:row>29</xdr:row>
      <xdr:rowOff>68580</xdr:rowOff>
    </xdr:to>
    <xdr:sp macro="" textlink="">
      <xdr:nvSpPr>
        <xdr:cNvPr id="1834" name="Text Box 485">
          <a:extLst>
            <a:ext uri="{FF2B5EF4-FFF2-40B4-BE49-F238E27FC236}">
              <a16:creationId xmlns:a16="http://schemas.microsoft.com/office/drawing/2014/main" id="{A2975401-9B30-A63C-6D98-383505075132}"/>
            </a:ext>
          </a:extLst>
        </xdr:cNvPr>
        <xdr:cNvSpPr txBox="1">
          <a:spLocks noChangeArrowheads="1"/>
        </xdr:cNvSpPr>
      </xdr:nvSpPr>
      <xdr:spPr bwMode="auto">
        <a:xfrm>
          <a:off x="465277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25</xdr:row>
      <xdr:rowOff>59055</xdr:rowOff>
    </xdr:from>
    <xdr:to>
      <xdr:col>80</xdr:col>
      <xdr:colOff>0</xdr:colOff>
      <xdr:row>26</xdr:row>
      <xdr:rowOff>68580</xdr:rowOff>
    </xdr:to>
    <xdr:sp macro="" textlink="">
      <xdr:nvSpPr>
        <xdr:cNvPr id="284" name="Text Box 486">
          <a:extLst>
            <a:ext uri="{FF2B5EF4-FFF2-40B4-BE49-F238E27FC236}">
              <a16:creationId xmlns:a16="http://schemas.microsoft.com/office/drawing/2014/main" id="{6C437759-D4E3-B563-7C97-E4DF060866B2}"/>
            </a:ext>
          </a:extLst>
        </xdr:cNvPr>
        <xdr:cNvSpPr txBox="1">
          <a:spLocks noChangeArrowheads="1"/>
        </xdr:cNvSpPr>
      </xdr:nvSpPr>
      <xdr:spPr bwMode="auto">
        <a:xfrm>
          <a:off x="73494900"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26</xdr:row>
      <xdr:rowOff>59055</xdr:rowOff>
    </xdr:from>
    <xdr:to>
      <xdr:col>80</xdr:col>
      <xdr:colOff>0</xdr:colOff>
      <xdr:row>27</xdr:row>
      <xdr:rowOff>59055</xdr:rowOff>
    </xdr:to>
    <xdr:sp macro="" textlink="">
      <xdr:nvSpPr>
        <xdr:cNvPr id="285" name="Text Box 487">
          <a:extLst>
            <a:ext uri="{FF2B5EF4-FFF2-40B4-BE49-F238E27FC236}">
              <a16:creationId xmlns:a16="http://schemas.microsoft.com/office/drawing/2014/main" id="{387448E4-0C21-4493-6BC4-FD0E71CA4B7C}"/>
            </a:ext>
          </a:extLst>
        </xdr:cNvPr>
        <xdr:cNvSpPr txBox="1">
          <a:spLocks noChangeArrowheads="1"/>
        </xdr:cNvSpPr>
      </xdr:nvSpPr>
      <xdr:spPr bwMode="auto">
        <a:xfrm>
          <a:off x="73494900"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28</xdr:row>
      <xdr:rowOff>53340</xdr:rowOff>
    </xdr:from>
    <xdr:to>
      <xdr:col>80</xdr:col>
      <xdr:colOff>0</xdr:colOff>
      <xdr:row>29</xdr:row>
      <xdr:rowOff>68580</xdr:rowOff>
    </xdr:to>
    <xdr:sp macro="" textlink="">
      <xdr:nvSpPr>
        <xdr:cNvPr id="1837" name="Text Box 488">
          <a:extLst>
            <a:ext uri="{FF2B5EF4-FFF2-40B4-BE49-F238E27FC236}">
              <a16:creationId xmlns:a16="http://schemas.microsoft.com/office/drawing/2014/main" id="{7C545701-40E0-5262-3612-1860A2AE9E96}"/>
            </a:ext>
          </a:extLst>
        </xdr:cNvPr>
        <xdr:cNvSpPr txBox="1">
          <a:spLocks noChangeArrowheads="1"/>
        </xdr:cNvSpPr>
      </xdr:nvSpPr>
      <xdr:spPr bwMode="auto">
        <a:xfrm>
          <a:off x="537591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28</xdr:row>
      <xdr:rowOff>53340</xdr:rowOff>
    </xdr:from>
    <xdr:to>
      <xdr:col>80</xdr:col>
      <xdr:colOff>0</xdr:colOff>
      <xdr:row>29</xdr:row>
      <xdr:rowOff>68580</xdr:rowOff>
    </xdr:to>
    <xdr:sp macro="" textlink="">
      <xdr:nvSpPr>
        <xdr:cNvPr id="1838" name="Text Box 489">
          <a:extLst>
            <a:ext uri="{FF2B5EF4-FFF2-40B4-BE49-F238E27FC236}">
              <a16:creationId xmlns:a16="http://schemas.microsoft.com/office/drawing/2014/main" id="{35AAE700-DDDF-5C2D-D16C-E73DF06C91C4}"/>
            </a:ext>
          </a:extLst>
        </xdr:cNvPr>
        <xdr:cNvSpPr txBox="1">
          <a:spLocks noChangeArrowheads="1"/>
        </xdr:cNvSpPr>
      </xdr:nvSpPr>
      <xdr:spPr bwMode="auto">
        <a:xfrm>
          <a:off x="537591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88</xdr:row>
      <xdr:rowOff>0</xdr:rowOff>
    </xdr:from>
    <xdr:to>
      <xdr:col>8</xdr:col>
      <xdr:colOff>0</xdr:colOff>
      <xdr:row>88</xdr:row>
      <xdr:rowOff>0</xdr:rowOff>
    </xdr:to>
    <xdr:sp macro="" textlink="">
      <xdr:nvSpPr>
        <xdr:cNvPr id="292" name="Text Box 506">
          <a:extLst>
            <a:ext uri="{FF2B5EF4-FFF2-40B4-BE49-F238E27FC236}">
              <a16:creationId xmlns:a16="http://schemas.microsoft.com/office/drawing/2014/main" id="{5E0D7309-5BBC-5E7E-86D9-8EB52B196E71}"/>
            </a:ext>
          </a:extLst>
        </xdr:cNvPr>
        <xdr:cNvSpPr txBox="1">
          <a:spLocks noChangeArrowheads="1"/>
        </xdr:cNvSpPr>
      </xdr:nvSpPr>
      <xdr:spPr bwMode="auto">
        <a:xfrm>
          <a:off x="61531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17</xdr:col>
      <xdr:colOff>0</xdr:colOff>
      <xdr:row>88</xdr:row>
      <xdr:rowOff>0</xdr:rowOff>
    </xdr:from>
    <xdr:to>
      <xdr:col>17</xdr:col>
      <xdr:colOff>0</xdr:colOff>
      <xdr:row>88</xdr:row>
      <xdr:rowOff>0</xdr:rowOff>
    </xdr:to>
    <xdr:sp macro="" textlink="">
      <xdr:nvSpPr>
        <xdr:cNvPr id="293" name="Text Box 507">
          <a:extLst>
            <a:ext uri="{FF2B5EF4-FFF2-40B4-BE49-F238E27FC236}">
              <a16:creationId xmlns:a16="http://schemas.microsoft.com/office/drawing/2014/main" id="{3821A135-6754-1BB2-39E8-972D859DAF3E}"/>
            </a:ext>
          </a:extLst>
        </xdr:cNvPr>
        <xdr:cNvSpPr txBox="1">
          <a:spLocks noChangeArrowheads="1"/>
        </xdr:cNvSpPr>
      </xdr:nvSpPr>
      <xdr:spPr bwMode="auto">
        <a:xfrm>
          <a:off x="142398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25</xdr:col>
      <xdr:colOff>0</xdr:colOff>
      <xdr:row>88</xdr:row>
      <xdr:rowOff>0</xdr:rowOff>
    </xdr:from>
    <xdr:to>
      <xdr:col>25</xdr:col>
      <xdr:colOff>0</xdr:colOff>
      <xdr:row>88</xdr:row>
      <xdr:rowOff>0</xdr:rowOff>
    </xdr:to>
    <xdr:sp macro="" textlink="">
      <xdr:nvSpPr>
        <xdr:cNvPr id="294" name="Text Box 508">
          <a:extLst>
            <a:ext uri="{FF2B5EF4-FFF2-40B4-BE49-F238E27FC236}">
              <a16:creationId xmlns:a16="http://schemas.microsoft.com/office/drawing/2014/main" id="{D78ED8D7-10DF-6E50-DE73-2E3944837FA7}"/>
            </a:ext>
          </a:extLst>
        </xdr:cNvPr>
        <xdr:cNvSpPr txBox="1">
          <a:spLocks noChangeArrowheads="1"/>
        </xdr:cNvSpPr>
      </xdr:nvSpPr>
      <xdr:spPr bwMode="auto">
        <a:xfrm>
          <a:off x="21631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33</xdr:col>
      <xdr:colOff>0</xdr:colOff>
      <xdr:row>88</xdr:row>
      <xdr:rowOff>0</xdr:rowOff>
    </xdr:from>
    <xdr:to>
      <xdr:col>33</xdr:col>
      <xdr:colOff>0</xdr:colOff>
      <xdr:row>88</xdr:row>
      <xdr:rowOff>0</xdr:rowOff>
    </xdr:to>
    <xdr:sp macro="" textlink="">
      <xdr:nvSpPr>
        <xdr:cNvPr id="295" name="Text Box 509">
          <a:extLst>
            <a:ext uri="{FF2B5EF4-FFF2-40B4-BE49-F238E27FC236}">
              <a16:creationId xmlns:a16="http://schemas.microsoft.com/office/drawing/2014/main" id="{B24513D5-3D47-BA34-CBB3-4CE2B10A39E2}"/>
            </a:ext>
          </a:extLst>
        </xdr:cNvPr>
        <xdr:cNvSpPr txBox="1">
          <a:spLocks noChangeArrowheads="1"/>
        </xdr:cNvSpPr>
      </xdr:nvSpPr>
      <xdr:spPr bwMode="auto">
        <a:xfrm>
          <a:off x="290417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61</xdr:col>
      <xdr:colOff>0</xdr:colOff>
      <xdr:row>88</xdr:row>
      <xdr:rowOff>0</xdr:rowOff>
    </xdr:from>
    <xdr:to>
      <xdr:col>61</xdr:col>
      <xdr:colOff>0</xdr:colOff>
      <xdr:row>88</xdr:row>
      <xdr:rowOff>0</xdr:rowOff>
    </xdr:to>
    <xdr:sp macro="" textlink="">
      <xdr:nvSpPr>
        <xdr:cNvPr id="298" name="Text Box 512">
          <a:extLst>
            <a:ext uri="{FF2B5EF4-FFF2-40B4-BE49-F238E27FC236}">
              <a16:creationId xmlns:a16="http://schemas.microsoft.com/office/drawing/2014/main" id="{3C6FFBED-98BA-6424-7C85-F9B346AB21A2}"/>
            </a:ext>
          </a:extLst>
        </xdr:cNvPr>
        <xdr:cNvSpPr txBox="1">
          <a:spLocks noChangeArrowheads="1"/>
        </xdr:cNvSpPr>
      </xdr:nvSpPr>
      <xdr:spPr bwMode="auto">
        <a:xfrm>
          <a:off x="553116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71</xdr:col>
      <xdr:colOff>0</xdr:colOff>
      <xdr:row>88</xdr:row>
      <xdr:rowOff>0</xdr:rowOff>
    </xdr:from>
    <xdr:to>
      <xdr:col>71</xdr:col>
      <xdr:colOff>0</xdr:colOff>
      <xdr:row>88</xdr:row>
      <xdr:rowOff>0</xdr:rowOff>
    </xdr:to>
    <xdr:sp macro="" textlink="">
      <xdr:nvSpPr>
        <xdr:cNvPr id="299" name="Text Box 513">
          <a:extLst>
            <a:ext uri="{FF2B5EF4-FFF2-40B4-BE49-F238E27FC236}">
              <a16:creationId xmlns:a16="http://schemas.microsoft.com/office/drawing/2014/main" id="{8C08EEDA-FBF5-AAEC-5620-B90ADFE76760}"/>
            </a:ext>
          </a:extLst>
        </xdr:cNvPr>
        <xdr:cNvSpPr txBox="1">
          <a:spLocks noChangeArrowheads="1"/>
        </xdr:cNvSpPr>
      </xdr:nvSpPr>
      <xdr:spPr bwMode="auto">
        <a:xfrm>
          <a:off x="64684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300" name="Text Box 514">
          <a:extLst>
            <a:ext uri="{FF2B5EF4-FFF2-40B4-BE49-F238E27FC236}">
              <a16:creationId xmlns:a16="http://schemas.microsoft.com/office/drawing/2014/main" id="{8E9A3BA8-4ABF-E279-4080-974B4C96E1DC}"/>
            </a:ext>
          </a:extLst>
        </xdr:cNvPr>
        <xdr:cNvSpPr txBox="1">
          <a:spLocks noChangeArrowheads="1"/>
        </xdr:cNvSpPr>
      </xdr:nvSpPr>
      <xdr:spPr bwMode="auto">
        <a:xfrm>
          <a:off x="734949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8</xdr:col>
      <xdr:colOff>0</xdr:colOff>
      <xdr:row>43</xdr:row>
      <xdr:rowOff>59055</xdr:rowOff>
    </xdr:from>
    <xdr:to>
      <xdr:col>8</xdr:col>
      <xdr:colOff>0</xdr:colOff>
      <xdr:row>44</xdr:row>
      <xdr:rowOff>59055</xdr:rowOff>
    </xdr:to>
    <xdr:sp macro="" textlink="">
      <xdr:nvSpPr>
        <xdr:cNvPr id="302" name="Text Box 517">
          <a:extLst>
            <a:ext uri="{FF2B5EF4-FFF2-40B4-BE49-F238E27FC236}">
              <a16:creationId xmlns:a16="http://schemas.microsoft.com/office/drawing/2014/main" id="{2272A680-4AA5-EB3C-570A-63E8D0D74DCA}"/>
            </a:ext>
          </a:extLst>
        </xdr:cNvPr>
        <xdr:cNvSpPr txBox="1">
          <a:spLocks noChangeArrowheads="1"/>
        </xdr:cNvSpPr>
      </xdr:nvSpPr>
      <xdr:spPr bwMode="auto">
        <a:xfrm>
          <a:off x="6153150"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43</xdr:row>
      <xdr:rowOff>59055</xdr:rowOff>
    </xdr:from>
    <xdr:to>
      <xdr:col>17</xdr:col>
      <xdr:colOff>0</xdr:colOff>
      <xdr:row>44</xdr:row>
      <xdr:rowOff>59055</xdr:rowOff>
    </xdr:to>
    <xdr:sp macro="" textlink="">
      <xdr:nvSpPr>
        <xdr:cNvPr id="303" name="Text Box 518">
          <a:extLst>
            <a:ext uri="{FF2B5EF4-FFF2-40B4-BE49-F238E27FC236}">
              <a16:creationId xmlns:a16="http://schemas.microsoft.com/office/drawing/2014/main" id="{5C2FDF64-7604-190E-7220-C863DD5EB9CA}"/>
            </a:ext>
          </a:extLst>
        </xdr:cNvPr>
        <xdr:cNvSpPr txBox="1">
          <a:spLocks noChangeArrowheads="1"/>
        </xdr:cNvSpPr>
      </xdr:nvSpPr>
      <xdr:spPr bwMode="auto">
        <a:xfrm>
          <a:off x="1423987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43</xdr:row>
      <xdr:rowOff>59055</xdr:rowOff>
    </xdr:from>
    <xdr:to>
      <xdr:col>25</xdr:col>
      <xdr:colOff>0</xdr:colOff>
      <xdr:row>44</xdr:row>
      <xdr:rowOff>59055</xdr:rowOff>
    </xdr:to>
    <xdr:sp macro="" textlink="">
      <xdr:nvSpPr>
        <xdr:cNvPr id="304" name="Text Box 519">
          <a:extLst>
            <a:ext uri="{FF2B5EF4-FFF2-40B4-BE49-F238E27FC236}">
              <a16:creationId xmlns:a16="http://schemas.microsoft.com/office/drawing/2014/main" id="{6F2832FC-D3AC-B613-83EE-204D07BD9990}"/>
            </a:ext>
          </a:extLst>
        </xdr:cNvPr>
        <xdr:cNvSpPr txBox="1">
          <a:spLocks noChangeArrowheads="1"/>
        </xdr:cNvSpPr>
      </xdr:nvSpPr>
      <xdr:spPr bwMode="auto">
        <a:xfrm>
          <a:off x="2163127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43</xdr:row>
      <xdr:rowOff>59055</xdr:rowOff>
    </xdr:from>
    <xdr:to>
      <xdr:col>33</xdr:col>
      <xdr:colOff>0</xdr:colOff>
      <xdr:row>44</xdr:row>
      <xdr:rowOff>59055</xdr:rowOff>
    </xdr:to>
    <xdr:sp macro="" textlink="">
      <xdr:nvSpPr>
        <xdr:cNvPr id="305" name="Text Box 520">
          <a:extLst>
            <a:ext uri="{FF2B5EF4-FFF2-40B4-BE49-F238E27FC236}">
              <a16:creationId xmlns:a16="http://schemas.microsoft.com/office/drawing/2014/main" id="{151C0529-646F-5107-11F6-3AE9E24E756E}"/>
            </a:ext>
          </a:extLst>
        </xdr:cNvPr>
        <xdr:cNvSpPr txBox="1">
          <a:spLocks noChangeArrowheads="1"/>
        </xdr:cNvSpPr>
      </xdr:nvSpPr>
      <xdr:spPr bwMode="auto">
        <a:xfrm>
          <a:off x="2904172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43</xdr:row>
      <xdr:rowOff>59055</xdr:rowOff>
    </xdr:from>
    <xdr:to>
      <xdr:col>61</xdr:col>
      <xdr:colOff>0</xdr:colOff>
      <xdr:row>44</xdr:row>
      <xdr:rowOff>59055</xdr:rowOff>
    </xdr:to>
    <xdr:sp macro="" textlink="">
      <xdr:nvSpPr>
        <xdr:cNvPr id="308" name="Text Box 523">
          <a:extLst>
            <a:ext uri="{FF2B5EF4-FFF2-40B4-BE49-F238E27FC236}">
              <a16:creationId xmlns:a16="http://schemas.microsoft.com/office/drawing/2014/main" id="{469FB13D-3CDC-CAE8-850C-AC332CB6CAA0}"/>
            </a:ext>
          </a:extLst>
        </xdr:cNvPr>
        <xdr:cNvSpPr txBox="1">
          <a:spLocks noChangeArrowheads="1"/>
        </xdr:cNvSpPr>
      </xdr:nvSpPr>
      <xdr:spPr bwMode="auto">
        <a:xfrm>
          <a:off x="5531167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43</xdr:row>
      <xdr:rowOff>59055</xdr:rowOff>
    </xdr:from>
    <xdr:to>
      <xdr:col>71</xdr:col>
      <xdr:colOff>0</xdr:colOff>
      <xdr:row>44</xdr:row>
      <xdr:rowOff>59055</xdr:rowOff>
    </xdr:to>
    <xdr:sp macro="" textlink="">
      <xdr:nvSpPr>
        <xdr:cNvPr id="309" name="Text Box 524">
          <a:extLst>
            <a:ext uri="{FF2B5EF4-FFF2-40B4-BE49-F238E27FC236}">
              <a16:creationId xmlns:a16="http://schemas.microsoft.com/office/drawing/2014/main" id="{3F4B8392-926E-AA4D-554F-7C63A60D587A}"/>
            </a:ext>
          </a:extLst>
        </xdr:cNvPr>
        <xdr:cNvSpPr txBox="1">
          <a:spLocks noChangeArrowheads="1"/>
        </xdr:cNvSpPr>
      </xdr:nvSpPr>
      <xdr:spPr bwMode="auto">
        <a:xfrm>
          <a:off x="6468427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43</xdr:row>
      <xdr:rowOff>59055</xdr:rowOff>
    </xdr:from>
    <xdr:to>
      <xdr:col>80</xdr:col>
      <xdr:colOff>0</xdr:colOff>
      <xdr:row>44</xdr:row>
      <xdr:rowOff>59055</xdr:rowOff>
    </xdr:to>
    <xdr:sp macro="" textlink="">
      <xdr:nvSpPr>
        <xdr:cNvPr id="310" name="Text Box 525">
          <a:extLst>
            <a:ext uri="{FF2B5EF4-FFF2-40B4-BE49-F238E27FC236}">
              <a16:creationId xmlns:a16="http://schemas.microsoft.com/office/drawing/2014/main" id="{828E90B0-753B-E313-BBA3-9F246B3E4377}"/>
            </a:ext>
          </a:extLst>
        </xdr:cNvPr>
        <xdr:cNvSpPr txBox="1">
          <a:spLocks noChangeArrowheads="1"/>
        </xdr:cNvSpPr>
      </xdr:nvSpPr>
      <xdr:spPr bwMode="auto">
        <a:xfrm>
          <a:off x="73494900"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312" name="Text Box 527">
          <a:extLst>
            <a:ext uri="{FF2B5EF4-FFF2-40B4-BE49-F238E27FC236}">
              <a16:creationId xmlns:a16="http://schemas.microsoft.com/office/drawing/2014/main" id="{B959ED93-97D0-EAE6-B4E9-DFF7ACB9864C}"/>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313" name="Text Box 528">
          <a:extLst>
            <a:ext uri="{FF2B5EF4-FFF2-40B4-BE49-F238E27FC236}">
              <a16:creationId xmlns:a16="http://schemas.microsoft.com/office/drawing/2014/main" id="{1BD76F03-15C2-5AA3-3245-311ED7CF8391}"/>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314" name="Text Box 529">
          <a:extLst>
            <a:ext uri="{FF2B5EF4-FFF2-40B4-BE49-F238E27FC236}">
              <a16:creationId xmlns:a16="http://schemas.microsoft.com/office/drawing/2014/main" id="{A7467CD7-3F55-69D5-6C77-781F11CB0A1F}"/>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315" name="Text Box 530">
          <a:extLst>
            <a:ext uri="{FF2B5EF4-FFF2-40B4-BE49-F238E27FC236}">
              <a16:creationId xmlns:a16="http://schemas.microsoft.com/office/drawing/2014/main" id="{2D80BD94-A0CA-5CF6-76B4-CAB4D5A4223D}"/>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318" name="Text Box 533">
          <a:extLst>
            <a:ext uri="{FF2B5EF4-FFF2-40B4-BE49-F238E27FC236}">
              <a16:creationId xmlns:a16="http://schemas.microsoft.com/office/drawing/2014/main" id="{7F343BEB-198C-ED57-1357-4A1479080160}"/>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319" name="Text Box 534">
          <a:extLst>
            <a:ext uri="{FF2B5EF4-FFF2-40B4-BE49-F238E27FC236}">
              <a16:creationId xmlns:a16="http://schemas.microsoft.com/office/drawing/2014/main" id="{7CD9EC3A-3706-EA49-576A-BB9374638E12}"/>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320" name="Text Box 535">
          <a:extLst>
            <a:ext uri="{FF2B5EF4-FFF2-40B4-BE49-F238E27FC236}">
              <a16:creationId xmlns:a16="http://schemas.microsoft.com/office/drawing/2014/main" id="{9D49D386-4BEB-AA54-C1AA-1D6D7DE6E741}"/>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860" name="Text Box 545">
          <a:extLst>
            <a:ext uri="{FF2B5EF4-FFF2-40B4-BE49-F238E27FC236}">
              <a16:creationId xmlns:a16="http://schemas.microsoft.com/office/drawing/2014/main" id="{BA8BB49D-E7E9-3DBB-CE61-E2526320A227}"/>
            </a:ext>
          </a:extLst>
        </xdr:cNvPr>
        <xdr:cNvSpPr txBox="1">
          <a:spLocks noChangeArrowheads="1"/>
        </xdr:cNvSpPr>
      </xdr:nvSpPr>
      <xdr:spPr bwMode="auto">
        <a:xfrm>
          <a:off x="1059180" y="376428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861" name="Text Box 546">
          <a:extLst>
            <a:ext uri="{FF2B5EF4-FFF2-40B4-BE49-F238E27FC236}">
              <a16:creationId xmlns:a16="http://schemas.microsoft.com/office/drawing/2014/main" id="{27571062-EFB5-CDE4-BA75-A0E67DA8546B}"/>
            </a:ext>
          </a:extLst>
        </xdr:cNvPr>
        <xdr:cNvSpPr txBox="1">
          <a:spLocks noChangeArrowheads="1"/>
        </xdr:cNvSpPr>
      </xdr:nvSpPr>
      <xdr:spPr bwMode="auto">
        <a:xfrm>
          <a:off x="1059180" y="376428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569595</xdr:colOff>
      <xdr:row>82</xdr:row>
      <xdr:rowOff>0</xdr:rowOff>
    </xdr:from>
    <xdr:to>
      <xdr:col>0</xdr:col>
      <xdr:colOff>695101</xdr:colOff>
      <xdr:row>82</xdr:row>
      <xdr:rowOff>0</xdr:rowOff>
    </xdr:to>
    <xdr:sp macro="" textlink="">
      <xdr:nvSpPr>
        <xdr:cNvPr id="324" name="Text Box 547">
          <a:extLst>
            <a:ext uri="{FF2B5EF4-FFF2-40B4-BE49-F238E27FC236}">
              <a16:creationId xmlns:a16="http://schemas.microsoft.com/office/drawing/2014/main" id="{F124AD36-7C2B-4719-889D-FFAA3B75AC1A}"/>
            </a:ext>
          </a:extLst>
        </xdr:cNvPr>
        <xdr:cNvSpPr txBox="1">
          <a:spLocks noChangeArrowheads="1"/>
        </xdr:cNvSpPr>
      </xdr:nvSpPr>
      <xdr:spPr bwMode="auto">
        <a:xfrm>
          <a:off x="63817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863" name="Text Box 548">
          <a:extLst>
            <a:ext uri="{FF2B5EF4-FFF2-40B4-BE49-F238E27FC236}">
              <a16:creationId xmlns:a16="http://schemas.microsoft.com/office/drawing/2014/main" id="{7B491D02-AD16-3DA5-13EF-D0F76E40C497}"/>
            </a:ext>
          </a:extLst>
        </xdr:cNvPr>
        <xdr:cNvSpPr txBox="1">
          <a:spLocks noChangeArrowheads="1"/>
        </xdr:cNvSpPr>
      </xdr:nvSpPr>
      <xdr:spPr bwMode="auto">
        <a:xfrm>
          <a:off x="1059180" y="376428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864" name="Text Box 549">
          <a:extLst>
            <a:ext uri="{FF2B5EF4-FFF2-40B4-BE49-F238E27FC236}">
              <a16:creationId xmlns:a16="http://schemas.microsoft.com/office/drawing/2014/main" id="{C1BFAB21-F82F-56FE-7524-9E9601B8A9AB}"/>
            </a:ext>
          </a:extLst>
        </xdr:cNvPr>
        <xdr:cNvSpPr txBox="1">
          <a:spLocks noChangeArrowheads="1"/>
        </xdr:cNvSpPr>
      </xdr:nvSpPr>
      <xdr:spPr bwMode="auto">
        <a:xfrm>
          <a:off x="1059180" y="376428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596265</xdr:colOff>
      <xdr:row>83</xdr:row>
      <xdr:rowOff>0</xdr:rowOff>
    </xdr:from>
    <xdr:to>
      <xdr:col>0</xdr:col>
      <xdr:colOff>714798</xdr:colOff>
      <xdr:row>83</xdr:row>
      <xdr:rowOff>0</xdr:rowOff>
    </xdr:to>
    <xdr:sp macro="" textlink="">
      <xdr:nvSpPr>
        <xdr:cNvPr id="327" name="Text Box 550">
          <a:extLst>
            <a:ext uri="{FF2B5EF4-FFF2-40B4-BE49-F238E27FC236}">
              <a16:creationId xmlns:a16="http://schemas.microsoft.com/office/drawing/2014/main" id="{91627FBF-DB9F-E3C3-CD58-9234D51895E6}"/>
            </a:ext>
          </a:extLst>
        </xdr:cNvPr>
        <xdr:cNvSpPr txBox="1">
          <a:spLocks noChangeArrowheads="1"/>
        </xdr:cNvSpPr>
      </xdr:nvSpPr>
      <xdr:spPr bwMode="auto">
        <a:xfrm>
          <a:off x="65722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643890</xdr:colOff>
      <xdr:row>86</xdr:row>
      <xdr:rowOff>49530</xdr:rowOff>
    </xdr:from>
    <xdr:to>
      <xdr:col>9</xdr:col>
      <xdr:colOff>1905</xdr:colOff>
      <xdr:row>87</xdr:row>
      <xdr:rowOff>423</xdr:rowOff>
    </xdr:to>
    <xdr:sp macro="" textlink="">
      <xdr:nvSpPr>
        <xdr:cNvPr id="328" name="Text Box 652">
          <a:extLst>
            <a:ext uri="{FF2B5EF4-FFF2-40B4-BE49-F238E27FC236}">
              <a16:creationId xmlns:a16="http://schemas.microsoft.com/office/drawing/2014/main" id="{31CA3B14-138C-8B53-1A32-FB5060D0B63B}"/>
            </a:ext>
          </a:extLst>
        </xdr:cNvPr>
        <xdr:cNvSpPr txBox="1">
          <a:spLocks noChangeArrowheads="1"/>
        </xdr:cNvSpPr>
      </xdr:nvSpPr>
      <xdr:spPr bwMode="auto">
        <a:xfrm>
          <a:off x="6810375"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643890</xdr:colOff>
      <xdr:row>86</xdr:row>
      <xdr:rowOff>49530</xdr:rowOff>
    </xdr:from>
    <xdr:to>
      <xdr:col>19</xdr:col>
      <xdr:colOff>1905</xdr:colOff>
      <xdr:row>87</xdr:row>
      <xdr:rowOff>423</xdr:rowOff>
    </xdr:to>
    <xdr:sp macro="" textlink="">
      <xdr:nvSpPr>
        <xdr:cNvPr id="329" name="Text Box 653">
          <a:extLst>
            <a:ext uri="{FF2B5EF4-FFF2-40B4-BE49-F238E27FC236}">
              <a16:creationId xmlns:a16="http://schemas.microsoft.com/office/drawing/2014/main" id="{3A41C237-3FCB-78E9-E283-3432023769E8}"/>
            </a:ext>
          </a:extLst>
        </xdr:cNvPr>
        <xdr:cNvSpPr txBox="1">
          <a:spLocks noChangeArrowheads="1"/>
        </xdr:cNvSpPr>
      </xdr:nvSpPr>
      <xdr:spPr bwMode="auto">
        <a:xfrm>
          <a:off x="17325975"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643890</xdr:colOff>
      <xdr:row>86</xdr:row>
      <xdr:rowOff>49530</xdr:rowOff>
    </xdr:from>
    <xdr:to>
      <xdr:col>29</xdr:col>
      <xdr:colOff>1905</xdr:colOff>
      <xdr:row>87</xdr:row>
      <xdr:rowOff>423</xdr:rowOff>
    </xdr:to>
    <xdr:sp macro="" textlink="">
      <xdr:nvSpPr>
        <xdr:cNvPr id="330" name="Text Box 654">
          <a:extLst>
            <a:ext uri="{FF2B5EF4-FFF2-40B4-BE49-F238E27FC236}">
              <a16:creationId xmlns:a16="http://schemas.microsoft.com/office/drawing/2014/main" id="{3AC1D3C6-C0B6-7823-384E-C603305E930A}"/>
            </a:ext>
          </a:extLst>
        </xdr:cNvPr>
        <xdr:cNvSpPr txBox="1">
          <a:spLocks noChangeArrowheads="1"/>
        </xdr:cNvSpPr>
      </xdr:nvSpPr>
      <xdr:spPr bwMode="auto">
        <a:xfrm>
          <a:off x="26241375"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38</xdr:col>
      <xdr:colOff>643890</xdr:colOff>
      <xdr:row>86</xdr:row>
      <xdr:rowOff>49530</xdr:rowOff>
    </xdr:from>
    <xdr:to>
      <xdr:col>39</xdr:col>
      <xdr:colOff>1905</xdr:colOff>
      <xdr:row>87</xdr:row>
      <xdr:rowOff>423</xdr:rowOff>
    </xdr:to>
    <xdr:sp macro="" textlink="">
      <xdr:nvSpPr>
        <xdr:cNvPr id="331" name="Text Box 655">
          <a:extLst>
            <a:ext uri="{FF2B5EF4-FFF2-40B4-BE49-F238E27FC236}">
              <a16:creationId xmlns:a16="http://schemas.microsoft.com/office/drawing/2014/main" id="{F98A38B2-15C8-EC3B-73B5-79D7A913F937}"/>
            </a:ext>
          </a:extLst>
        </xdr:cNvPr>
        <xdr:cNvSpPr txBox="1">
          <a:spLocks noChangeArrowheads="1"/>
        </xdr:cNvSpPr>
      </xdr:nvSpPr>
      <xdr:spPr bwMode="auto">
        <a:xfrm>
          <a:off x="34766250"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48</xdr:col>
      <xdr:colOff>590550</xdr:colOff>
      <xdr:row>86</xdr:row>
      <xdr:rowOff>49530</xdr:rowOff>
    </xdr:from>
    <xdr:to>
      <xdr:col>49</xdr:col>
      <xdr:colOff>1905</xdr:colOff>
      <xdr:row>87</xdr:row>
      <xdr:rowOff>423</xdr:rowOff>
    </xdr:to>
    <xdr:sp macro="" textlink="">
      <xdr:nvSpPr>
        <xdr:cNvPr id="332" name="Text Box 656">
          <a:extLst>
            <a:ext uri="{FF2B5EF4-FFF2-40B4-BE49-F238E27FC236}">
              <a16:creationId xmlns:a16="http://schemas.microsoft.com/office/drawing/2014/main" id="{0B160576-B458-3905-5F40-8E7533A190FE}"/>
            </a:ext>
          </a:extLst>
        </xdr:cNvPr>
        <xdr:cNvSpPr txBox="1">
          <a:spLocks noChangeArrowheads="1"/>
        </xdr:cNvSpPr>
      </xdr:nvSpPr>
      <xdr:spPr bwMode="auto">
        <a:xfrm>
          <a:off x="42710100"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70</xdr:col>
      <xdr:colOff>697230</xdr:colOff>
      <xdr:row>86</xdr:row>
      <xdr:rowOff>49530</xdr:rowOff>
    </xdr:from>
    <xdr:to>
      <xdr:col>71</xdr:col>
      <xdr:colOff>1905</xdr:colOff>
      <xdr:row>87</xdr:row>
      <xdr:rowOff>423</xdr:rowOff>
    </xdr:to>
    <xdr:sp macro="" textlink="">
      <xdr:nvSpPr>
        <xdr:cNvPr id="334" name="Text Box 658">
          <a:extLst>
            <a:ext uri="{FF2B5EF4-FFF2-40B4-BE49-F238E27FC236}">
              <a16:creationId xmlns:a16="http://schemas.microsoft.com/office/drawing/2014/main" id="{D3584C09-1312-EAA0-02DD-36DDBD5CC339}"/>
            </a:ext>
          </a:extLst>
        </xdr:cNvPr>
        <xdr:cNvSpPr txBox="1">
          <a:spLocks noChangeArrowheads="1"/>
        </xdr:cNvSpPr>
      </xdr:nvSpPr>
      <xdr:spPr bwMode="auto">
        <a:xfrm>
          <a:off x="64684275"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335" name="Text Box 659">
          <a:extLst>
            <a:ext uri="{FF2B5EF4-FFF2-40B4-BE49-F238E27FC236}">
              <a16:creationId xmlns:a16="http://schemas.microsoft.com/office/drawing/2014/main" id="{6C385793-982C-3429-E615-DC823FA20807}"/>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336" name="Text Box 660">
          <a:extLst>
            <a:ext uri="{FF2B5EF4-FFF2-40B4-BE49-F238E27FC236}">
              <a16:creationId xmlns:a16="http://schemas.microsoft.com/office/drawing/2014/main" id="{6FAE2F43-37EC-3C5D-17E6-0D6B0BB48AAE}"/>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37" name="Text Box 661">
          <a:extLst>
            <a:ext uri="{FF2B5EF4-FFF2-40B4-BE49-F238E27FC236}">
              <a16:creationId xmlns:a16="http://schemas.microsoft.com/office/drawing/2014/main" id="{CA714360-DF63-B0F8-7AE7-118F01917842}"/>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38" name="Text Box 662">
          <a:extLst>
            <a:ext uri="{FF2B5EF4-FFF2-40B4-BE49-F238E27FC236}">
              <a16:creationId xmlns:a16="http://schemas.microsoft.com/office/drawing/2014/main" id="{A59FC099-86D4-5A50-FF35-EEFC6D20B5C4}"/>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73</xdr:col>
      <xdr:colOff>0</xdr:colOff>
      <xdr:row>87</xdr:row>
      <xdr:rowOff>0</xdr:rowOff>
    </xdr:from>
    <xdr:to>
      <xdr:col>73</xdr:col>
      <xdr:colOff>0</xdr:colOff>
      <xdr:row>87</xdr:row>
      <xdr:rowOff>0</xdr:rowOff>
    </xdr:to>
    <xdr:sp macro="" textlink="">
      <xdr:nvSpPr>
        <xdr:cNvPr id="341" name="Text Box 665">
          <a:extLst>
            <a:ext uri="{FF2B5EF4-FFF2-40B4-BE49-F238E27FC236}">
              <a16:creationId xmlns:a16="http://schemas.microsoft.com/office/drawing/2014/main" id="{C6F51EF8-6C2F-4FF7-CDD9-3BA4A30EDA59}"/>
            </a:ext>
          </a:extLst>
        </xdr:cNvPr>
        <xdr:cNvSpPr txBox="1">
          <a:spLocks noChangeArrowheads="1"/>
        </xdr:cNvSpPr>
      </xdr:nvSpPr>
      <xdr:spPr bwMode="auto">
        <a:xfrm>
          <a:off x="6587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62</xdr:col>
      <xdr:colOff>0</xdr:colOff>
      <xdr:row>87</xdr:row>
      <xdr:rowOff>0</xdr:rowOff>
    </xdr:from>
    <xdr:to>
      <xdr:col>62</xdr:col>
      <xdr:colOff>0</xdr:colOff>
      <xdr:row>87</xdr:row>
      <xdr:rowOff>0</xdr:rowOff>
    </xdr:to>
    <xdr:sp macro="" textlink="">
      <xdr:nvSpPr>
        <xdr:cNvPr id="344" name="Text Box 668">
          <a:extLst>
            <a:ext uri="{FF2B5EF4-FFF2-40B4-BE49-F238E27FC236}">
              <a16:creationId xmlns:a16="http://schemas.microsoft.com/office/drawing/2014/main" id="{04EDD3B4-2FD6-370D-C275-31DFC5558A22}"/>
            </a:ext>
          </a:extLst>
        </xdr:cNvPr>
        <xdr:cNvSpPr txBox="1">
          <a:spLocks noChangeArrowheads="1"/>
        </xdr:cNvSpPr>
      </xdr:nvSpPr>
      <xdr:spPr bwMode="auto">
        <a:xfrm>
          <a:off x="560451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45" name="Text Box 669">
          <a:extLst>
            <a:ext uri="{FF2B5EF4-FFF2-40B4-BE49-F238E27FC236}">
              <a16:creationId xmlns:a16="http://schemas.microsoft.com/office/drawing/2014/main" id="{C31D90DE-EFCC-5D4B-7F66-DD434479CC81}"/>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46" name="Text Box 670">
          <a:extLst>
            <a:ext uri="{FF2B5EF4-FFF2-40B4-BE49-F238E27FC236}">
              <a16:creationId xmlns:a16="http://schemas.microsoft.com/office/drawing/2014/main" id="{86BE11DC-4D4C-B871-729B-CEF42C4A3EA9}"/>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47" name="Text Box 671">
          <a:extLst>
            <a:ext uri="{FF2B5EF4-FFF2-40B4-BE49-F238E27FC236}">
              <a16:creationId xmlns:a16="http://schemas.microsoft.com/office/drawing/2014/main" id="{774A01D4-6804-625C-1FD1-33E5C0C3CA1E}"/>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348" name="Text Box 672">
          <a:extLst>
            <a:ext uri="{FF2B5EF4-FFF2-40B4-BE49-F238E27FC236}">
              <a16:creationId xmlns:a16="http://schemas.microsoft.com/office/drawing/2014/main" id="{7BC659CE-2C53-AD49-1528-92F80904C484}"/>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349" name="Text Box 673">
          <a:extLst>
            <a:ext uri="{FF2B5EF4-FFF2-40B4-BE49-F238E27FC236}">
              <a16:creationId xmlns:a16="http://schemas.microsoft.com/office/drawing/2014/main" id="{6A2B2854-E447-90FE-FAA8-E91C88B9C719}"/>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50" name="Text Box 674">
          <a:extLst>
            <a:ext uri="{FF2B5EF4-FFF2-40B4-BE49-F238E27FC236}">
              <a16:creationId xmlns:a16="http://schemas.microsoft.com/office/drawing/2014/main" id="{1CF3BBD7-A76B-CD76-EE72-DF443EDA5188}"/>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51" name="Text Box 675">
          <a:extLst>
            <a:ext uri="{FF2B5EF4-FFF2-40B4-BE49-F238E27FC236}">
              <a16:creationId xmlns:a16="http://schemas.microsoft.com/office/drawing/2014/main" id="{AC04D55E-1220-1040-5F9A-E748B173B86F}"/>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52" name="Text Box 676">
          <a:extLst>
            <a:ext uri="{FF2B5EF4-FFF2-40B4-BE49-F238E27FC236}">
              <a16:creationId xmlns:a16="http://schemas.microsoft.com/office/drawing/2014/main" id="{F8603ED4-F2E1-115C-F658-73DEE6431F28}"/>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53" name="Text Box 677">
          <a:extLst>
            <a:ext uri="{FF2B5EF4-FFF2-40B4-BE49-F238E27FC236}">
              <a16:creationId xmlns:a16="http://schemas.microsoft.com/office/drawing/2014/main" id="{13399258-B295-246B-7D9A-857E92521409}"/>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354" name="Text Box 678">
          <a:extLst>
            <a:ext uri="{FF2B5EF4-FFF2-40B4-BE49-F238E27FC236}">
              <a16:creationId xmlns:a16="http://schemas.microsoft.com/office/drawing/2014/main" id="{EAAA8C4E-8292-0C00-7E3F-696AF4F1D47B}"/>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355" name="Text Box 679">
          <a:extLst>
            <a:ext uri="{FF2B5EF4-FFF2-40B4-BE49-F238E27FC236}">
              <a16:creationId xmlns:a16="http://schemas.microsoft.com/office/drawing/2014/main" id="{65B8207A-C6FE-4C8E-C299-D5CE3C9BCA48}"/>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56" name="Text Box 680">
          <a:extLst>
            <a:ext uri="{FF2B5EF4-FFF2-40B4-BE49-F238E27FC236}">
              <a16:creationId xmlns:a16="http://schemas.microsoft.com/office/drawing/2014/main" id="{9587DCA9-CEEF-6DE0-C472-F83ED81B695F}"/>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57" name="Text Box 681">
          <a:extLst>
            <a:ext uri="{FF2B5EF4-FFF2-40B4-BE49-F238E27FC236}">
              <a16:creationId xmlns:a16="http://schemas.microsoft.com/office/drawing/2014/main" id="{3D74C8A7-3D41-4BD1-B2EF-C4534CFC04B4}"/>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60" name="Text Box 684">
          <a:extLst>
            <a:ext uri="{FF2B5EF4-FFF2-40B4-BE49-F238E27FC236}">
              <a16:creationId xmlns:a16="http://schemas.microsoft.com/office/drawing/2014/main" id="{7C0B2F10-8171-1BF3-538C-78F069EC3192}"/>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61" name="Text Box 685">
          <a:extLst>
            <a:ext uri="{FF2B5EF4-FFF2-40B4-BE49-F238E27FC236}">
              <a16:creationId xmlns:a16="http://schemas.microsoft.com/office/drawing/2014/main" id="{F9C54CEA-BF08-3F54-3B54-6D422303F266}"/>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62" name="Text Box 686">
          <a:extLst>
            <a:ext uri="{FF2B5EF4-FFF2-40B4-BE49-F238E27FC236}">
              <a16:creationId xmlns:a16="http://schemas.microsoft.com/office/drawing/2014/main" id="{B5B6F80B-A243-5578-0559-2EAB1EABB204}"/>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364" name="Text Box 688">
          <a:extLst>
            <a:ext uri="{FF2B5EF4-FFF2-40B4-BE49-F238E27FC236}">
              <a16:creationId xmlns:a16="http://schemas.microsoft.com/office/drawing/2014/main" id="{3C010E73-CBAD-D0F6-48A1-7A86BD744E7B}"/>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365" name="Text Box 689">
          <a:extLst>
            <a:ext uri="{FF2B5EF4-FFF2-40B4-BE49-F238E27FC236}">
              <a16:creationId xmlns:a16="http://schemas.microsoft.com/office/drawing/2014/main" id="{D50089DA-2CB8-7A1F-318D-5C4374EF2414}"/>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66" name="Text Box 690">
          <a:extLst>
            <a:ext uri="{FF2B5EF4-FFF2-40B4-BE49-F238E27FC236}">
              <a16:creationId xmlns:a16="http://schemas.microsoft.com/office/drawing/2014/main" id="{5361AF86-52CD-5478-03D8-2C5C70DD178D}"/>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67" name="Text Box 691">
          <a:extLst>
            <a:ext uri="{FF2B5EF4-FFF2-40B4-BE49-F238E27FC236}">
              <a16:creationId xmlns:a16="http://schemas.microsoft.com/office/drawing/2014/main" id="{FC2D6A2D-BD2A-9114-0C35-2FBAB0F4587E}"/>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68" name="Text Box 692">
          <a:extLst>
            <a:ext uri="{FF2B5EF4-FFF2-40B4-BE49-F238E27FC236}">
              <a16:creationId xmlns:a16="http://schemas.microsoft.com/office/drawing/2014/main" id="{35425955-9939-5CD0-48EB-8F7A17F64433}"/>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69" name="Text Box 693">
          <a:extLst>
            <a:ext uri="{FF2B5EF4-FFF2-40B4-BE49-F238E27FC236}">
              <a16:creationId xmlns:a16="http://schemas.microsoft.com/office/drawing/2014/main" id="{AE3147FC-EF81-87DC-63B3-3137631E190D}"/>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70" name="Text Box 694">
          <a:extLst>
            <a:ext uri="{FF2B5EF4-FFF2-40B4-BE49-F238E27FC236}">
              <a16:creationId xmlns:a16="http://schemas.microsoft.com/office/drawing/2014/main" id="{16F58775-A2B2-E31C-2ED8-8AC4BE870620}"/>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71" name="Text Box 695">
          <a:extLst>
            <a:ext uri="{FF2B5EF4-FFF2-40B4-BE49-F238E27FC236}">
              <a16:creationId xmlns:a16="http://schemas.microsoft.com/office/drawing/2014/main" id="{165C3750-8A4D-E7CB-267E-AA4E9D99432C}"/>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2" name="Text Box 706">
          <a:extLst>
            <a:ext uri="{FF2B5EF4-FFF2-40B4-BE49-F238E27FC236}">
              <a16:creationId xmlns:a16="http://schemas.microsoft.com/office/drawing/2014/main" id="{3331F793-57AB-64A9-8813-2A16CB05CC49}"/>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3" name="Text Box 707">
          <a:extLst>
            <a:ext uri="{FF2B5EF4-FFF2-40B4-BE49-F238E27FC236}">
              <a16:creationId xmlns:a16="http://schemas.microsoft.com/office/drawing/2014/main" id="{966C6CB3-685D-9CDB-C417-2ECA545820E4}"/>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4" name="Text Box 708">
          <a:extLst>
            <a:ext uri="{FF2B5EF4-FFF2-40B4-BE49-F238E27FC236}">
              <a16:creationId xmlns:a16="http://schemas.microsoft.com/office/drawing/2014/main" id="{E7AFFB07-D801-15A2-B39A-BFFAFE57F543}"/>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5" name="Text Box 709">
          <a:extLst>
            <a:ext uri="{FF2B5EF4-FFF2-40B4-BE49-F238E27FC236}">
              <a16:creationId xmlns:a16="http://schemas.microsoft.com/office/drawing/2014/main" id="{60554DDD-C150-EF0F-9B73-DB442D959DCF}"/>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6" name="Text Box 710">
          <a:extLst>
            <a:ext uri="{FF2B5EF4-FFF2-40B4-BE49-F238E27FC236}">
              <a16:creationId xmlns:a16="http://schemas.microsoft.com/office/drawing/2014/main" id="{D7210545-0F40-57E6-DE9E-DBDE5A8A9781}"/>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87" name="Text Box 711">
          <a:extLst>
            <a:ext uri="{FF2B5EF4-FFF2-40B4-BE49-F238E27FC236}">
              <a16:creationId xmlns:a16="http://schemas.microsoft.com/office/drawing/2014/main" id="{F7AA4F71-A025-0E58-3455-6B4364C17EE3}"/>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88" name="Text Box 712">
          <a:extLst>
            <a:ext uri="{FF2B5EF4-FFF2-40B4-BE49-F238E27FC236}">
              <a16:creationId xmlns:a16="http://schemas.microsoft.com/office/drawing/2014/main" id="{8E639CCF-5CCE-B6DB-BCF4-588E39C6B2EB}"/>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89" name="Text Box 713">
          <a:extLst>
            <a:ext uri="{FF2B5EF4-FFF2-40B4-BE49-F238E27FC236}">
              <a16:creationId xmlns:a16="http://schemas.microsoft.com/office/drawing/2014/main" id="{2BEF7948-1D04-F207-1F3C-58CE9450D15D}"/>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90" name="Text Box 714">
          <a:extLst>
            <a:ext uri="{FF2B5EF4-FFF2-40B4-BE49-F238E27FC236}">
              <a16:creationId xmlns:a16="http://schemas.microsoft.com/office/drawing/2014/main" id="{1865DC44-EBB7-929C-96F5-9D3276D67204}"/>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91" name="Text Box 715">
          <a:extLst>
            <a:ext uri="{FF2B5EF4-FFF2-40B4-BE49-F238E27FC236}">
              <a16:creationId xmlns:a16="http://schemas.microsoft.com/office/drawing/2014/main" id="{B36F07B0-E0AC-089C-1D2E-F00B058F621C}"/>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97" name="Text Box 721">
          <a:extLst>
            <a:ext uri="{FF2B5EF4-FFF2-40B4-BE49-F238E27FC236}">
              <a16:creationId xmlns:a16="http://schemas.microsoft.com/office/drawing/2014/main" id="{5ACEDEE1-F65E-4886-87ED-417EF83223B6}"/>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98" name="Text Box 722">
          <a:extLst>
            <a:ext uri="{FF2B5EF4-FFF2-40B4-BE49-F238E27FC236}">
              <a16:creationId xmlns:a16="http://schemas.microsoft.com/office/drawing/2014/main" id="{D3109199-AA15-B2F4-C12A-EA2F14825E95}"/>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99" name="Text Box 723">
          <a:extLst>
            <a:ext uri="{FF2B5EF4-FFF2-40B4-BE49-F238E27FC236}">
              <a16:creationId xmlns:a16="http://schemas.microsoft.com/office/drawing/2014/main" id="{39F17405-1ADC-529C-DFD4-B71A26FF70E1}"/>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400" name="Text Box 724">
          <a:extLst>
            <a:ext uri="{FF2B5EF4-FFF2-40B4-BE49-F238E27FC236}">
              <a16:creationId xmlns:a16="http://schemas.microsoft.com/office/drawing/2014/main" id="{FF84847D-3559-035E-D756-F26C29A64AB2}"/>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401" name="Text Box 725">
          <a:extLst>
            <a:ext uri="{FF2B5EF4-FFF2-40B4-BE49-F238E27FC236}">
              <a16:creationId xmlns:a16="http://schemas.microsoft.com/office/drawing/2014/main" id="{6D731686-1019-6885-AC4E-F6EA52D3C65C}"/>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402" name="Text Box 726">
          <a:extLst>
            <a:ext uri="{FF2B5EF4-FFF2-40B4-BE49-F238E27FC236}">
              <a16:creationId xmlns:a16="http://schemas.microsoft.com/office/drawing/2014/main" id="{2FD927C1-4D76-E49A-E510-9464DC07AE1C}"/>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403" name="Text Box 727">
          <a:extLst>
            <a:ext uri="{FF2B5EF4-FFF2-40B4-BE49-F238E27FC236}">
              <a16:creationId xmlns:a16="http://schemas.microsoft.com/office/drawing/2014/main" id="{BAD512B2-7B83-B50C-A55D-CE768E0A3860}"/>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404" name="Text Box 728">
          <a:extLst>
            <a:ext uri="{FF2B5EF4-FFF2-40B4-BE49-F238E27FC236}">
              <a16:creationId xmlns:a16="http://schemas.microsoft.com/office/drawing/2014/main" id="{3995C55C-DF2C-28D3-E0D9-22E7007010B9}"/>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405" name="Text Box 729">
          <a:extLst>
            <a:ext uri="{FF2B5EF4-FFF2-40B4-BE49-F238E27FC236}">
              <a16:creationId xmlns:a16="http://schemas.microsoft.com/office/drawing/2014/main" id="{724D7167-7FA0-5FA9-F5D5-5687FCC360A6}"/>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408" name="Text Box 732">
          <a:extLst>
            <a:ext uri="{FF2B5EF4-FFF2-40B4-BE49-F238E27FC236}">
              <a16:creationId xmlns:a16="http://schemas.microsoft.com/office/drawing/2014/main" id="{C501778D-4515-CFD4-8F0B-A70E275EDBFB}"/>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409" name="Text Box 733">
          <a:extLst>
            <a:ext uri="{FF2B5EF4-FFF2-40B4-BE49-F238E27FC236}">
              <a16:creationId xmlns:a16="http://schemas.microsoft.com/office/drawing/2014/main" id="{B4EDB7FB-B4D6-BD23-E1BC-89836DFEFCC3}"/>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410" name="Text Box 734">
          <a:extLst>
            <a:ext uri="{FF2B5EF4-FFF2-40B4-BE49-F238E27FC236}">
              <a16:creationId xmlns:a16="http://schemas.microsoft.com/office/drawing/2014/main" id="{B77060B4-0990-F781-038D-B49A6D2B55DC}"/>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412" name="Text Box 736">
          <a:extLst>
            <a:ext uri="{FF2B5EF4-FFF2-40B4-BE49-F238E27FC236}">
              <a16:creationId xmlns:a16="http://schemas.microsoft.com/office/drawing/2014/main" id="{D8A2AD9E-FF15-66A3-C63A-387707799EF5}"/>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413" name="Text Box 737">
          <a:extLst>
            <a:ext uri="{FF2B5EF4-FFF2-40B4-BE49-F238E27FC236}">
              <a16:creationId xmlns:a16="http://schemas.microsoft.com/office/drawing/2014/main" id="{6E965ADF-90A3-6E0D-D67C-679FE6A3C3DC}"/>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414" name="Text Box 738">
          <a:extLst>
            <a:ext uri="{FF2B5EF4-FFF2-40B4-BE49-F238E27FC236}">
              <a16:creationId xmlns:a16="http://schemas.microsoft.com/office/drawing/2014/main" id="{A32C4A1D-EA41-385D-E243-5800ADC63E0E}"/>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415" name="Text Box 739">
          <a:extLst>
            <a:ext uri="{FF2B5EF4-FFF2-40B4-BE49-F238E27FC236}">
              <a16:creationId xmlns:a16="http://schemas.microsoft.com/office/drawing/2014/main" id="{51D4E1C6-EA6D-8ECA-CB57-F0CA27863737}"/>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418" name="Text Box 742">
          <a:extLst>
            <a:ext uri="{FF2B5EF4-FFF2-40B4-BE49-F238E27FC236}">
              <a16:creationId xmlns:a16="http://schemas.microsoft.com/office/drawing/2014/main" id="{892EBC4F-A46A-D238-E880-292C2B396F56}"/>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419" name="Text Box 743">
          <a:extLst>
            <a:ext uri="{FF2B5EF4-FFF2-40B4-BE49-F238E27FC236}">
              <a16:creationId xmlns:a16="http://schemas.microsoft.com/office/drawing/2014/main" id="{2D55B1BD-195D-FAF4-A670-8AF866A48DB3}"/>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420" name="Text Box 744">
          <a:extLst>
            <a:ext uri="{FF2B5EF4-FFF2-40B4-BE49-F238E27FC236}">
              <a16:creationId xmlns:a16="http://schemas.microsoft.com/office/drawing/2014/main" id="{4DA0660F-88C4-B29C-2337-D9353339CB9F}"/>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596265</xdr:colOff>
      <xdr:row>87</xdr:row>
      <xdr:rowOff>0</xdr:rowOff>
    </xdr:from>
    <xdr:to>
      <xdr:col>0</xdr:col>
      <xdr:colOff>714798</xdr:colOff>
      <xdr:row>87</xdr:row>
      <xdr:rowOff>0</xdr:rowOff>
    </xdr:to>
    <xdr:sp macro="" textlink="">
      <xdr:nvSpPr>
        <xdr:cNvPr id="422" name="Text Box 746">
          <a:extLst>
            <a:ext uri="{FF2B5EF4-FFF2-40B4-BE49-F238E27FC236}">
              <a16:creationId xmlns:a16="http://schemas.microsoft.com/office/drawing/2014/main" id="{D679701A-EB36-843D-C035-079B60EFEA10}"/>
            </a:ext>
          </a:extLst>
        </xdr:cNvPr>
        <xdr:cNvSpPr txBox="1">
          <a:spLocks noChangeArrowheads="1"/>
        </xdr:cNvSpPr>
      </xdr:nvSpPr>
      <xdr:spPr bwMode="auto">
        <a:xfrm>
          <a:off x="657225" y="100869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932" name="Text Box 875">
          <a:extLst>
            <a:ext uri="{FF2B5EF4-FFF2-40B4-BE49-F238E27FC236}">
              <a16:creationId xmlns:a16="http://schemas.microsoft.com/office/drawing/2014/main" id="{94B3FC6C-D31D-4EE7-BBA9-76C03D3A24DB}"/>
            </a:ext>
          </a:extLst>
        </xdr:cNvPr>
        <xdr:cNvSpPr txBox="1">
          <a:spLocks noChangeArrowheads="1"/>
        </xdr:cNvSpPr>
      </xdr:nvSpPr>
      <xdr:spPr bwMode="auto">
        <a:xfrm>
          <a:off x="1059180" y="376428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933" name="Text Box 876">
          <a:extLst>
            <a:ext uri="{FF2B5EF4-FFF2-40B4-BE49-F238E27FC236}">
              <a16:creationId xmlns:a16="http://schemas.microsoft.com/office/drawing/2014/main" id="{C7AC868B-72D8-AEBC-A1AD-693E25CDC5C4}"/>
            </a:ext>
          </a:extLst>
        </xdr:cNvPr>
        <xdr:cNvSpPr txBox="1">
          <a:spLocks noChangeArrowheads="1"/>
        </xdr:cNvSpPr>
      </xdr:nvSpPr>
      <xdr:spPr bwMode="auto">
        <a:xfrm>
          <a:off x="1059180" y="376428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934" name="Text Box 877">
          <a:extLst>
            <a:ext uri="{FF2B5EF4-FFF2-40B4-BE49-F238E27FC236}">
              <a16:creationId xmlns:a16="http://schemas.microsoft.com/office/drawing/2014/main" id="{9A672F4E-A0C5-C62E-7ED1-89EDAB4D5423}"/>
            </a:ext>
          </a:extLst>
        </xdr:cNvPr>
        <xdr:cNvSpPr txBox="1">
          <a:spLocks noChangeArrowheads="1"/>
        </xdr:cNvSpPr>
      </xdr:nvSpPr>
      <xdr:spPr bwMode="auto">
        <a:xfrm>
          <a:off x="1059180" y="376428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935" name="Text Box 878">
          <a:extLst>
            <a:ext uri="{FF2B5EF4-FFF2-40B4-BE49-F238E27FC236}">
              <a16:creationId xmlns:a16="http://schemas.microsoft.com/office/drawing/2014/main" id="{90909E0E-C4E7-B861-F7D0-BCF80E7FB0FE}"/>
            </a:ext>
          </a:extLst>
        </xdr:cNvPr>
        <xdr:cNvSpPr txBox="1">
          <a:spLocks noChangeArrowheads="1"/>
        </xdr:cNvSpPr>
      </xdr:nvSpPr>
      <xdr:spPr bwMode="auto">
        <a:xfrm>
          <a:off x="1059180" y="376428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569595</xdr:colOff>
      <xdr:row>82</xdr:row>
      <xdr:rowOff>0</xdr:rowOff>
    </xdr:from>
    <xdr:to>
      <xdr:col>0</xdr:col>
      <xdr:colOff>695101</xdr:colOff>
      <xdr:row>82</xdr:row>
      <xdr:rowOff>0</xdr:rowOff>
    </xdr:to>
    <xdr:sp macro="" textlink="">
      <xdr:nvSpPr>
        <xdr:cNvPr id="526" name="Text Box 879">
          <a:extLst>
            <a:ext uri="{FF2B5EF4-FFF2-40B4-BE49-F238E27FC236}">
              <a16:creationId xmlns:a16="http://schemas.microsoft.com/office/drawing/2014/main" id="{FCE46B6E-EA3E-A745-5EA9-FB1FF8509ACB}"/>
            </a:ext>
          </a:extLst>
        </xdr:cNvPr>
        <xdr:cNvSpPr txBox="1">
          <a:spLocks noChangeArrowheads="1"/>
        </xdr:cNvSpPr>
      </xdr:nvSpPr>
      <xdr:spPr bwMode="auto">
        <a:xfrm>
          <a:off x="63817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937" name="Text Box 880">
          <a:extLst>
            <a:ext uri="{FF2B5EF4-FFF2-40B4-BE49-F238E27FC236}">
              <a16:creationId xmlns:a16="http://schemas.microsoft.com/office/drawing/2014/main" id="{9FE342B6-B4CA-4F7D-AF9B-D3DAA6B031A1}"/>
            </a:ext>
          </a:extLst>
        </xdr:cNvPr>
        <xdr:cNvSpPr txBox="1">
          <a:spLocks noChangeArrowheads="1"/>
        </xdr:cNvSpPr>
      </xdr:nvSpPr>
      <xdr:spPr bwMode="auto">
        <a:xfrm>
          <a:off x="1059180" y="376428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68580</xdr:rowOff>
    </xdr:to>
    <xdr:sp macro="" textlink="">
      <xdr:nvSpPr>
        <xdr:cNvPr id="1938" name="Text Box 881">
          <a:extLst>
            <a:ext uri="{FF2B5EF4-FFF2-40B4-BE49-F238E27FC236}">
              <a16:creationId xmlns:a16="http://schemas.microsoft.com/office/drawing/2014/main" id="{D33152A7-59DC-D48F-AE73-9D3894E7BEE5}"/>
            </a:ext>
          </a:extLst>
        </xdr:cNvPr>
        <xdr:cNvSpPr txBox="1">
          <a:spLocks noChangeArrowheads="1"/>
        </xdr:cNvSpPr>
      </xdr:nvSpPr>
      <xdr:spPr bwMode="auto">
        <a:xfrm>
          <a:off x="1059180" y="3764280"/>
          <a:ext cx="10668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596265</xdr:colOff>
      <xdr:row>83</xdr:row>
      <xdr:rowOff>0</xdr:rowOff>
    </xdr:from>
    <xdr:to>
      <xdr:col>0</xdr:col>
      <xdr:colOff>714798</xdr:colOff>
      <xdr:row>83</xdr:row>
      <xdr:rowOff>0</xdr:rowOff>
    </xdr:to>
    <xdr:sp macro="" textlink="">
      <xdr:nvSpPr>
        <xdr:cNvPr id="529" name="Text Box 882">
          <a:extLst>
            <a:ext uri="{FF2B5EF4-FFF2-40B4-BE49-F238E27FC236}">
              <a16:creationId xmlns:a16="http://schemas.microsoft.com/office/drawing/2014/main" id="{9F3BD741-1751-C0C2-F057-FC6210A0D63D}"/>
            </a:ext>
          </a:extLst>
        </xdr:cNvPr>
        <xdr:cNvSpPr txBox="1">
          <a:spLocks noChangeArrowheads="1"/>
        </xdr:cNvSpPr>
      </xdr:nvSpPr>
      <xdr:spPr bwMode="auto">
        <a:xfrm>
          <a:off x="65722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60</xdr:col>
      <xdr:colOff>0</xdr:colOff>
      <xdr:row>79</xdr:row>
      <xdr:rowOff>49530</xdr:rowOff>
    </xdr:from>
    <xdr:to>
      <xdr:col>60</xdr:col>
      <xdr:colOff>0</xdr:colOff>
      <xdr:row>80</xdr:row>
      <xdr:rowOff>48006</xdr:rowOff>
    </xdr:to>
    <xdr:sp macro="" textlink="">
      <xdr:nvSpPr>
        <xdr:cNvPr id="904" name="Text Box 1333">
          <a:extLst>
            <a:ext uri="{FF2B5EF4-FFF2-40B4-BE49-F238E27FC236}">
              <a16:creationId xmlns:a16="http://schemas.microsoft.com/office/drawing/2014/main" id="{2740C56B-071C-C8BB-0E2B-98ED3E927CBE}"/>
            </a:ext>
          </a:extLst>
        </xdr:cNvPr>
        <xdr:cNvSpPr txBox="1">
          <a:spLocks noChangeArrowheads="1"/>
        </xdr:cNvSpPr>
      </xdr:nvSpPr>
      <xdr:spPr bwMode="auto">
        <a:xfrm>
          <a:off x="54578250"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59</xdr:col>
      <xdr:colOff>643890</xdr:colOff>
      <xdr:row>82</xdr:row>
      <xdr:rowOff>49530</xdr:rowOff>
    </xdr:from>
    <xdr:to>
      <xdr:col>60</xdr:col>
      <xdr:colOff>1905</xdr:colOff>
      <xdr:row>83</xdr:row>
      <xdr:rowOff>423</xdr:rowOff>
    </xdr:to>
    <xdr:sp macro="" textlink="">
      <xdr:nvSpPr>
        <xdr:cNvPr id="905" name="Text Box 1334">
          <a:extLst>
            <a:ext uri="{FF2B5EF4-FFF2-40B4-BE49-F238E27FC236}">
              <a16:creationId xmlns:a16="http://schemas.microsoft.com/office/drawing/2014/main" id="{AFABE59A-C659-8B03-5773-A9EDBB772692}"/>
            </a:ext>
          </a:extLst>
        </xdr:cNvPr>
        <xdr:cNvSpPr txBox="1">
          <a:spLocks noChangeArrowheads="1"/>
        </xdr:cNvSpPr>
      </xdr:nvSpPr>
      <xdr:spPr bwMode="auto">
        <a:xfrm>
          <a:off x="5457825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59</xdr:col>
      <xdr:colOff>643890</xdr:colOff>
      <xdr:row>86</xdr:row>
      <xdr:rowOff>49530</xdr:rowOff>
    </xdr:from>
    <xdr:to>
      <xdr:col>60</xdr:col>
      <xdr:colOff>1905</xdr:colOff>
      <xdr:row>87</xdr:row>
      <xdr:rowOff>423</xdr:rowOff>
    </xdr:to>
    <xdr:sp macro="" textlink="">
      <xdr:nvSpPr>
        <xdr:cNvPr id="906" name="Text Box 1336">
          <a:extLst>
            <a:ext uri="{FF2B5EF4-FFF2-40B4-BE49-F238E27FC236}">
              <a16:creationId xmlns:a16="http://schemas.microsoft.com/office/drawing/2014/main" id="{64D00CB1-B969-09B4-D658-D42F6528C606}"/>
            </a:ext>
          </a:extLst>
        </xdr:cNvPr>
        <xdr:cNvSpPr txBox="1">
          <a:spLocks noChangeArrowheads="1"/>
        </xdr:cNvSpPr>
      </xdr:nvSpPr>
      <xdr:spPr bwMode="auto">
        <a:xfrm>
          <a:off x="54578250"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68580</xdr:rowOff>
    </xdr:to>
    <xdr:sp macro="" textlink="">
      <xdr:nvSpPr>
        <xdr:cNvPr id="1943" name="Text Box 449">
          <a:extLst>
            <a:ext uri="{FF2B5EF4-FFF2-40B4-BE49-F238E27FC236}">
              <a16:creationId xmlns:a16="http://schemas.microsoft.com/office/drawing/2014/main" id="{E1CD8E6B-B4C4-774E-67E8-603E138E0587}"/>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944" name="Text Box 452">
          <a:extLst>
            <a:ext uri="{FF2B5EF4-FFF2-40B4-BE49-F238E27FC236}">
              <a16:creationId xmlns:a16="http://schemas.microsoft.com/office/drawing/2014/main" id="{182612FE-0DE1-FEC7-DAD5-175631595A9A}"/>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945" name="Text Box 545">
          <a:extLst>
            <a:ext uri="{FF2B5EF4-FFF2-40B4-BE49-F238E27FC236}">
              <a16:creationId xmlns:a16="http://schemas.microsoft.com/office/drawing/2014/main" id="{FA60A628-7F0C-149E-092B-D0F4311281C7}"/>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946" name="Text Box 546">
          <a:extLst>
            <a:ext uri="{FF2B5EF4-FFF2-40B4-BE49-F238E27FC236}">
              <a16:creationId xmlns:a16="http://schemas.microsoft.com/office/drawing/2014/main" id="{B1F1718D-08BD-6FF9-2D66-564BA2F2BCFC}"/>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82</xdr:row>
      <xdr:rowOff>0</xdr:rowOff>
    </xdr:from>
    <xdr:to>
      <xdr:col>66</xdr:col>
      <xdr:colOff>638175</xdr:colOff>
      <xdr:row>82</xdr:row>
      <xdr:rowOff>0</xdr:rowOff>
    </xdr:to>
    <xdr:sp macro="" textlink="">
      <xdr:nvSpPr>
        <xdr:cNvPr id="620" name="Text Box 547">
          <a:extLst>
            <a:ext uri="{FF2B5EF4-FFF2-40B4-BE49-F238E27FC236}">
              <a16:creationId xmlns:a16="http://schemas.microsoft.com/office/drawing/2014/main" id="{AFF5DD62-B2A3-38CC-B034-0419EF8FC88A}"/>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68580</xdr:rowOff>
    </xdr:to>
    <xdr:sp macro="" textlink="">
      <xdr:nvSpPr>
        <xdr:cNvPr id="1948" name="Text Box 548">
          <a:extLst>
            <a:ext uri="{FF2B5EF4-FFF2-40B4-BE49-F238E27FC236}">
              <a16:creationId xmlns:a16="http://schemas.microsoft.com/office/drawing/2014/main" id="{7193F7ED-6314-D70C-68F3-9122328EDCE1}"/>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949" name="Text Box 549">
          <a:extLst>
            <a:ext uri="{FF2B5EF4-FFF2-40B4-BE49-F238E27FC236}">
              <a16:creationId xmlns:a16="http://schemas.microsoft.com/office/drawing/2014/main" id="{D6DE31EA-0DB1-E5D1-08D1-95A9BDEC1A2B}"/>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83</xdr:row>
      <xdr:rowOff>0</xdr:rowOff>
    </xdr:from>
    <xdr:to>
      <xdr:col>66</xdr:col>
      <xdr:colOff>638175</xdr:colOff>
      <xdr:row>83</xdr:row>
      <xdr:rowOff>0</xdr:rowOff>
    </xdr:to>
    <xdr:sp macro="" textlink="">
      <xdr:nvSpPr>
        <xdr:cNvPr id="623" name="Text Box 550">
          <a:extLst>
            <a:ext uri="{FF2B5EF4-FFF2-40B4-BE49-F238E27FC236}">
              <a16:creationId xmlns:a16="http://schemas.microsoft.com/office/drawing/2014/main" id="{E3589137-A50D-0147-978B-B531998D1964}"/>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66</xdr:col>
      <xdr:colOff>638175</xdr:colOff>
      <xdr:row>87</xdr:row>
      <xdr:rowOff>0</xdr:rowOff>
    </xdr:from>
    <xdr:to>
      <xdr:col>66</xdr:col>
      <xdr:colOff>638175</xdr:colOff>
      <xdr:row>87</xdr:row>
      <xdr:rowOff>0</xdr:rowOff>
    </xdr:to>
    <xdr:sp macro="" textlink="">
      <xdr:nvSpPr>
        <xdr:cNvPr id="624" name="Text Box 746">
          <a:extLst>
            <a:ext uri="{FF2B5EF4-FFF2-40B4-BE49-F238E27FC236}">
              <a16:creationId xmlns:a16="http://schemas.microsoft.com/office/drawing/2014/main" id="{6AA8CA27-8C3D-B0A8-B0B8-B85448CF0B66}"/>
            </a:ext>
          </a:extLst>
        </xdr:cNvPr>
        <xdr:cNvSpPr txBox="1">
          <a:spLocks noChangeArrowheads="1"/>
        </xdr:cNvSpPr>
      </xdr:nvSpPr>
      <xdr:spPr bwMode="auto">
        <a:xfrm>
          <a:off x="65722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68580</xdr:rowOff>
    </xdr:to>
    <xdr:sp macro="" textlink="">
      <xdr:nvSpPr>
        <xdr:cNvPr id="1952" name="Text Box 875">
          <a:extLst>
            <a:ext uri="{FF2B5EF4-FFF2-40B4-BE49-F238E27FC236}">
              <a16:creationId xmlns:a16="http://schemas.microsoft.com/office/drawing/2014/main" id="{3D4F8832-9893-850A-BAA3-2E54ECE52488}"/>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953" name="Text Box 876">
          <a:extLst>
            <a:ext uri="{FF2B5EF4-FFF2-40B4-BE49-F238E27FC236}">
              <a16:creationId xmlns:a16="http://schemas.microsoft.com/office/drawing/2014/main" id="{189ED97A-C096-1757-8532-790F2B1E135A}"/>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954" name="Text Box 877">
          <a:extLst>
            <a:ext uri="{FF2B5EF4-FFF2-40B4-BE49-F238E27FC236}">
              <a16:creationId xmlns:a16="http://schemas.microsoft.com/office/drawing/2014/main" id="{7232B6E2-1F04-1AA5-9B5E-88ACC74220BA}"/>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955" name="Text Box 878">
          <a:extLst>
            <a:ext uri="{FF2B5EF4-FFF2-40B4-BE49-F238E27FC236}">
              <a16:creationId xmlns:a16="http://schemas.microsoft.com/office/drawing/2014/main" id="{11B0FD38-AE6E-1C6B-8AB9-CE723E2B2A9E}"/>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82</xdr:row>
      <xdr:rowOff>0</xdr:rowOff>
    </xdr:from>
    <xdr:to>
      <xdr:col>66</xdr:col>
      <xdr:colOff>638175</xdr:colOff>
      <xdr:row>82</xdr:row>
      <xdr:rowOff>0</xdr:rowOff>
    </xdr:to>
    <xdr:sp macro="" textlink="">
      <xdr:nvSpPr>
        <xdr:cNvPr id="629" name="Text Box 879">
          <a:extLst>
            <a:ext uri="{FF2B5EF4-FFF2-40B4-BE49-F238E27FC236}">
              <a16:creationId xmlns:a16="http://schemas.microsoft.com/office/drawing/2014/main" id="{17A8872B-81AF-5045-5309-40ECF0DE91B7}"/>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68580</xdr:rowOff>
    </xdr:to>
    <xdr:sp macro="" textlink="">
      <xdr:nvSpPr>
        <xdr:cNvPr id="1957" name="Text Box 880">
          <a:extLst>
            <a:ext uri="{FF2B5EF4-FFF2-40B4-BE49-F238E27FC236}">
              <a16:creationId xmlns:a16="http://schemas.microsoft.com/office/drawing/2014/main" id="{E7EE21C5-A7CA-13F4-0060-FBB68C219BF7}"/>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958" name="Text Box 881">
          <a:extLst>
            <a:ext uri="{FF2B5EF4-FFF2-40B4-BE49-F238E27FC236}">
              <a16:creationId xmlns:a16="http://schemas.microsoft.com/office/drawing/2014/main" id="{50B8486C-BD9F-7D96-0C99-72FA841E5FAB}"/>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83</xdr:row>
      <xdr:rowOff>0</xdr:rowOff>
    </xdr:from>
    <xdr:to>
      <xdr:col>66</xdr:col>
      <xdr:colOff>638175</xdr:colOff>
      <xdr:row>83</xdr:row>
      <xdr:rowOff>0</xdr:rowOff>
    </xdr:to>
    <xdr:sp macro="" textlink="">
      <xdr:nvSpPr>
        <xdr:cNvPr id="632" name="Text Box 882">
          <a:extLst>
            <a:ext uri="{FF2B5EF4-FFF2-40B4-BE49-F238E27FC236}">
              <a16:creationId xmlns:a16="http://schemas.microsoft.com/office/drawing/2014/main" id="{DE3F91AF-77D5-C0EF-9A96-E64608686D68}"/>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68580</xdr:rowOff>
    </xdr:to>
    <xdr:sp macro="" textlink="">
      <xdr:nvSpPr>
        <xdr:cNvPr id="1960" name="Text Box 449">
          <a:extLst>
            <a:ext uri="{FF2B5EF4-FFF2-40B4-BE49-F238E27FC236}">
              <a16:creationId xmlns:a16="http://schemas.microsoft.com/office/drawing/2014/main" id="{F94BAAF6-E596-46BF-E4F0-E34F2853FE4F}"/>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961" name="Text Box 452">
          <a:extLst>
            <a:ext uri="{FF2B5EF4-FFF2-40B4-BE49-F238E27FC236}">
              <a16:creationId xmlns:a16="http://schemas.microsoft.com/office/drawing/2014/main" id="{EB9E9A13-111A-FC85-5D7D-416B5CBE42BB}"/>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962" name="Text Box 545">
          <a:extLst>
            <a:ext uri="{FF2B5EF4-FFF2-40B4-BE49-F238E27FC236}">
              <a16:creationId xmlns:a16="http://schemas.microsoft.com/office/drawing/2014/main" id="{998FCAA9-3620-D33C-E37E-9968C51C85BB}"/>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963" name="Text Box 546">
          <a:extLst>
            <a:ext uri="{FF2B5EF4-FFF2-40B4-BE49-F238E27FC236}">
              <a16:creationId xmlns:a16="http://schemas.microsoft.com/office/drawing/2014/main" id="{6FCDF54E-42E3-B218-2CA8-ACBA3ECA3F7F}"/>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637" name="Text Box 547">
          <a:extLst>
            <a:ext uri="{FF2B5EF4-FFF2-40B4-BE49-F238E27FC236}">
              <a16:creationId xmlns:a16="http://schemas.microsoft.com/office/drawing/2014/main" id="{06104E1D-14AF-BE0C-E2A6-9245F89B3AA8}"/>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68580</xdr:rowOff>
    </xdr:to>
    <xdr:sp macro="" textlink="">
      <xdr:nvSpPr>
        <xdr:cNvPr id="1965" name="Text Box 548">
          <a:extLst>
            <a:ext uri="{FF2B5EF4-FFF2-40B4-BE49-F238E27FC236}">
              <a16:creationId xmlns:a16="http://schemas.microsoft.com/office/drawing/2014/main" id="{8B687EE3-E23E-52F6-649F-E679704BFB1A}"/>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966" name="Text Box 549">
          <a:extLst>
            <a:ext uri="{FF2B5EF4-FFF2-40B4-BE49-F238E27FC236}">
              <a16:creationId xmlns:a16="http://schemas.microsoft.com/office/drawing/2014/main" id="{4115326B-4A8C-EBF7-342E-957BC4183DC9}"/>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83</xdr:row>
      <xdr:rowOff>0</xdr:rowOff>
    </xdr:from>
    <xdr:to>
      <xdr:col>76</xdr:col>
      <xdr:colOff>1905</xdr:colOff>
      <xdr:row>83</xdr:row>
      <xdr:rowOff>0</xdr:rowOff>
    </xdr:to>
    <xdr:sp macro="" textlink="">
      <xdr:nvSpPr>
        <xdr:cNvPr id="640" name="Text Box 550">
          <a:extLst>
            <a:ext uri="{FF2B5EF4-FFF2-40B4-BE49-F238E27FC236}">
              <a16:creationId xmlns:a16="http://schemas.microsoft.com/office/drawing/2014/main" id="{11C4E36A-B2DC-7E28-0B33-8DD40A4587CE}"/>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1905</xdr:colOff>
      <xdr:row>87</xdr:row>
      <xdr:rowOff>0</xdr:rowOff>
    </xdr:from>
    <xdr:to>
      <xdr:col>76</xdr:col>
      <xdr:colOff>1905</xdr:colOff>
      <xdr:row>87</xdr:row>
      <xdr:rowOff>0</xdr:rowOff>
    </xdr:to>
    <xdr:sp macro="" textlink="">
      <xdr:nvSpPr>
        <xdr:cNvPr id="641" name="Text Box 746">
          <a:extLst>
            <a:ext uri="{FF2B5EF4-FFF2-40B4-BE49-F238E27FC236}">
              <a16:creationId xmlns:a16="http://schemas.microsoft.com/office/drawing/2014/main" id="{2DC6F120-5A85-EAE8-3CB7-073E26611A37}"/>
            </a:ext>
          </a:extLst>
        </xdr:cNvPr>
        <xdr:cNvSpPr txBox="1">
          <a:spLocks noChangeArrowheads="1"/>
        </xdr:cNvSpPr>
      </xdr:nvSpPr>
      <xdr:spPr bwMode="auto">
        <a:xfrm>
          <a:off x="65722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68580</xdr:rowOff>
    </xdr:to>
    <xdr:sp macro="" textlink="">
      <xdr:nvSpPr>
        <xdr:cNvPr id="1969" name="Text Box 875">
          <a:extLst>
            <a:ext uri="{FF2B5EF4-FFF2-40B4-BE49-F238E27FC236}">
              <a16:creationId xmlns:a16="http://schemas.microsoft.com/office/drawing/2014/main" id="{288CC072-C746-442C-E3C0-0B83B9F2AAD9}"/>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970" name="Text Box 876">
          <a:extLst>
            <a:ext uri="{FF2B5EF4-FFF2-40B4-BE49-F238E27FC236}">
              <a16:creationId xmlns:a16="http://schemas.microsoft.com/office/drawing/2014/main" id="{74C8CC96-A629-1BA3-4FEA-CC7795CB9B07}"/>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971" name="Text Box 877">
          <a:extLst>
            <a:ext uri="{FF2B5EF4-FFF2-40B4-BE49-F238E27FC236}">
              <a16:creationId xmlns:a16="http://schemas.microsoft.com/office/drawing/2014/main" id="{CC9B9FBD-4521-01E6-5909-CE34B5783B3A}"/>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972" name="Text Box 878">
          <a:extLst>
            <a:ext uri="{FF2B5EF4-FFF2-40B4-BE49-F238E27FC236}">
              <a16:creationId xmlns:a16="http://schemas.microsoft.com/office/drawing/2014/main" id="{A33624CA-99A7-6A19-A6D4-7F56981AE196}"/>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646" name="Text Box 879">
          <a:extLst>
            <a:ext uri="{FF2B5EF4-FFF2-40B4-BE49-F238E27FC236}">
              <a16:creationId xmlns:a16="http://schemas.microsoft.com/office/drawing/2014/main" id="{2D965A7C-076D-EA17-1F87-D747973148AF}"/>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68580</xdr:rowOff>
    </xdr:to>
    <xdr:sp macro="" textlink="">
      <xdr:nvSpPr>
        <xdr:cNvPr id="1974" name="Text Box 880">
          <a:extLst>
            <a:ext uri="{FF2B5EF4-FFF2-40B4-BE49-F238E27FC236}">
              <a16:creationId xmlns:a16="http://schemas.microsoft.com/office/drawing/2014/main" id="{3F64A5B8-3FE0-DF65-75D6-0726D57AD735}"/>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1975" name="Text Box 881">
          <a:extLst>
            <a:ext uri="{FF2B5EF4-FFF2-40B4-BE49-F238E27FC236}">
              <a16:creationId xmlns:a16="http://schemas.microsoft.com/office/drawing/2014/main" id="{C14F3A91-A963-7205-56AB-B294D3DFF9E9}"/>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83</xdr:row>
      <xdr:rowOff>0</xdr:rowOff>
    </xdr:from>
    <xdr:to>
      <xdr:col>76</xdr:col>
      <xdr:colOff>1905</xdr:colOff>
      <xdr:row>83</xdr:row>
      <xdr:rowOff>0</xdr:rowOff>
    </xdr:to>
    <xdr:sp macro="" textlink="">
      <xdr:nvSpPr>
        <xdr:cNvPr id="649" name="Text Box 882">
          <a:extLst>
            <a:ext uri="{FF2B5EF4-FFF2-40B4-BE49-F238E27FC236}">
              <a16:creationId xmlns:a16="http://schemas.microsoft.com/office/drawing/2014/main" id="{683BF8DF-2D6F-7259-E379-3AF0F9AD90C3}"/>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68580</xdr:rowOff>
    </xdr:to>
    <xdr:sp macro="" textlink="">
      <xdr:nvSpPr>
        <xdr:cNvPr id="1977" name="Text Box 449">
          <a:extLst>
            <a:ext uri="{FF2B5EF4-FFF2-40B4-BE49-F238E27FC236}">
              <a16:creationId xmlns:a16="http://schemas.microsoft.com/office/drawing/2014/main" id="{01FB8522-6BB4-F7D9-9F22-80FB25119CA8}"/>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978" name="Text Box 452">
          <a:extLst>
            <a:ext uri="{FF2B5EF4-FFF2-40B4-BE49-F238E27FC236}">
              <a16:creationId xmlns:a16="http://schemas.microsoft.com/office/drawing/2014/main" id="{3D6860FF-2937-572D-A166-874B5C09F6E3}"/>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979" name="Text Box 545">
          <a:extLst>
            <a:ext uri="{FF2B5EF4-FFF2-40B4-BE49-F238E27FC236}">
              <a16:creationId xmlns:a16="http://schemas.microsoft.com/office/drawing/2014/main" id="{9037BFF5-0F27-2E03-E996-DFD137EE1442}"/>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980" name="Text Box 546">
          <a:extLst>
            <a:ext uri="{FF2B5EF4-FFF2-40B4-BE49-F238E27FC236}">
              <a16:creationId xmlns:a16="http://schemas.microsoft.com/office/drawing/2014/main" id="{0640F2C0-8127-CA76-DADB-27AD359BEB00}"/>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654" name="Text Box 547">
          <a:extLst>
            <a:ext uri="{FF2B5EF4-FFF2-40B4-BE49-F238E27FC236}">
              <a16:creationId xmlns:a16="http://schemas.microsoft.com/office/drawing/2014/main" id="{C47E6D2B-1F6F-6FAB-E47B-B968FA18D7A4}"/>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68580</xdr:rowOff>
    </xdr:to>
    <xdr:sp macro="" textlink="">
      <xdr:nvSpPr>
        <xdr:cNvPr id="1982" name="Text Box 548">
          <a:extLst>
            <a:ext uri="{FF2B5EF4-FFF2-40B4-BE49-F238E27FC236}">
              <a16:creationId xmlns:a16="http://schemas.microsoft.com/office/drawing/2014/main" id="{E774CF53-7677-47C5-00FE-E86D6AFD5F64}"/>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983" name="Text Box 549">
          <a:extLst>
            <a:ext uri="{FF2B5EF4-FFF2-40B4-BE49-F238E27FC236}">
              <a16:creationId xmlns:a16="http://schemas.microsoft.com/office/drawing/2014/main" id="{4E0D1C18-CB66-4FB5-1E30-DA23B9962B27}"/>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83</xdr:row>
      <xdr:rowOff>0</xdr:rowOff>
    </xdr:from>
    <xdr:to>
      <xdr:col>89</xdr:col>
      <xdr:colOff>1905</xdr:colOff>
      <xdr:row>83</xdr:row>
      <xdr:rowOff>0</xdr:rowOff>
    </xdr:to>
    <xdr:sp macro="" textlink="">
      <xdr:nvSpPr>
        <xdr:cNvPr id="657" name="Text Box 550">
          <a:extLst>
            <a:ext uri="{FF2B5EF4-FFF2-40B4-BE49-F238E27FC236}">
              <a16:creationId xmlns:a16="http://schemas.microsoft.com/office/drawing/2014/main" id="{F700A13D-EFFC-F1D0-D2BB-CA0750F33F4F}"/>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1905</xdr:colOff>
      <xdr:row>87</xdr:row>
      <xdr:rowOff>0</xdr:rowOff>
    </xdr:from>
    <xdr:to>
      <xdr:col>89</xdr:col>
      <xdr:colOff>1905</xdr:colOff>
      <xdr:row>87</xdr:row>
      <xdr:rowOff>0</xdr:rowOff>
    </xdr:to>
    <xdr:sp macro="" textlink="">
      <xdr:nvSpPr>
        <xdr:cNvPr id="658" name="Text Box 746">
          <a:extLst>
            <a:ext uri="{FF2B5EF4-FFF2-40B4-BE49-F238E27FC236}">
              <a16:creationId xmlns:a16="http://schemas.microsoft.com/office/drawing/2014/main" id="{7E7D18D2-903F-2A33-C0AF-F9F5BF23B08E}"/>
            </a:ext>
          </a:extLst>
        </xdr:cNvPr>
        <xdr:cNvSpPr txBox="1">
          <a:spLocks noChangeArrowheads="1"/>
        </xdr:cNvSpPr>
      </xdr:nvSpPr>
      <xdr:spPr bwMode="auto">
        <a:xfrm>
          <a:off x="65722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68580</xdr:rowOff>
    </xdr:to>
    <xdr:sp macro="" textlink="">
      <xdr:nvSpPr>
        <xdr:cNvPr id="1986" name="Text Box 875">
          <a:extLst>
            <a:ext uri="{FF2B5EF4-FFF2-40B4-BE49-F238E27FC236}">
              <a16:creationId xmlns:a16="http://schemas.microsoft.com/office/drawing/2014/main" id="{4325D3E6-51DC-37C7-CBF2-A5EA90D16D04}"/>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987" name="Text Box 876">
          <a:extLst>
            <a:ext uri="{FF2B5EF4-FFF2-40B4-BE49-F238E27FC236}">
              <a16:creationId xmlns:a16="http://schemas.microsoft.com/office/drawing/2014/main" id="{43E284D0-7DF3-E61B-1F69-64499BD350B8}"/>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988" name="Text Box 877">
          <a:extLst>
            <a:ext uri="{FF2B5EF4-FFF2-40B4-BE49-F238E27FC236}">
              <a16:creationId xmlns:a16="http://schemas.microsoft.com/office/drawing/2014/main" id="{95CA8245-32C3-E551-9205-C0880E159F34}"/>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989" name="Text Box 878">
          <a:extLst>
            <a:ext uri="{FF2B5EF4-FFF2-40B4-BE49-F238E27FC236}">
              <a16:creationId xmlns:a16="http://schemas.microsoft.com/office/drawing/2014/main" id="{36352633-2CC1-D915-98DE-A566B945AE12}"/>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663" name="Text Box 879">
          <a:extLst>
            <a:ext uri="{FF2B5EF4-FFF2-40B4-BE49-F238E27FC236}">
              <a16:creationId xmlns:a16="http://schemas.microsoft.com/office/drawing/2014/main" id="{2B30834E-21B3-E930-7739-C0785720C2F3}"/>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68580</xdr:rowOff>
    </xdr:to>
    <xdr:sp macro="" textlink="">
      <xdr:nvSpPr>
        <xdr:cNvPr id="1991" name="Text Box 880">
          <a:extLst>
            <a:ext uri="{FF2B5EF4-FFF2-40B4-BE49-F238E27FC236}">
              <a16:creationId xmlns:a16="http://schemas.microsoft.com/office/drawing/2014/main" id="{D423C141-8471-BAAA-E7F6-76CE35FF0364}"/>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1992" name="Text Box 881">
          <a:extLst>
            <a:ext uri="{FF2B5EF4-FFF2-40B4-BE49-F238E27FC236}">
              <a16:creationId xmlns:a16="http://schemas.microsoft.com/office/drawing/2014/main" id="{24FD9DB0-A236-3C05-A03A-76F03313D7C7}"/>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83</xdr:row>
      <xdr:rowOff>0</xdr:rowOff>
    </xdr:from>
    <xdr:to>
      <xdr:col>89</xdr:col>
      <xdr:colOff>1905</xdr:colOff>
      <xdr:row>83</xdr:row>
      <xdr:rowOff>0</xdr:rowOff>
    </xdr:to>
    <xdr:sp macro="" textlink="">
      <xdr:nvSpPr>
        <xdr:cNvPr id="666" name="Text Box 882">
          <a:extLst>
            <a:ext uri="{FF2B5EF4-FFF2-40B4-BE49-F238E27FC236}">
              <a16:creationId xmlns:a16="http://schemas.microsoft.com/office/drawing/2014/main" id="{E5EA2603-533C-4E7D-F31A-644FA2EE39FE}"/>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68580</xdr:rowOff>
    </xdr:to>
    <xdr:sp macro="" textlink="">
      <xdr:nvSpPr>
        <xdr:cNvPr id="1994" name="Text Box 449">
          <a:extLst>
            <a:ext uri="{FF2B5EF4-FFF2-40B4-BE49-F238E27FC236}">
              <a16:creationId xmlns:a16="http://schemas.microsoft.com/office/drawing/2014/main" id="{00ADAC47-3E71-3C5E-C25B-416D0C7B0F05}"/>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995" name="Text Box 452">
          <a:extLst>
            <a:ext uri="{FF2B5EF4-FFF2-40B4-BE49-F238E27FC236}">
              <a16:creationId xmlns:a16="http://schemas.microsoft.com/office/drawing/2014/main" id="{C7DFBAA6-6F51-5881-4037-A3D524BD95E1}"/>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996" name="Text Box 545">
          <a:extLst>
            <a:ext uri="{FF2B5EF4-FFF2-40B4-BE49-F238E27FC236}">
              <a16:creationId xmlns:a16="http://schemas.microsoft.com/office/drawing/2014/main" id="{F2E79250-5B51-FF57-0504-D546256E3A77}"/>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1997" name="Text Box 546">
          <a:extLst>
            <a:ext uri="{FF2B5EF4-FFF2-40B4-BE49-F238E27FC236}">
              <a16:creationId xmlns:a16="http://schemas.microsoft.com/office/drawing/2014/main" id="{F8FD1E63-BDD4-DFD9-B267-ADF5C71B842F}"/>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82</xdr:row>
      <xdr:rowOff>0</xdr:rowOff>
    </xdr:from>
    <xdr:to>
      <xdr:col>66</xdr:col>
      <xdr:colOff>638175</xdr:colOff>
      <xdr:row>82</xdr:row>
      <xdr:rowOff>0</xdr:rowOff>
    </xdr:to>
    <xdr:sp macro="" textlink="">
      <xdr:nvSpPr>
        <xdr:cNvPr id="773" name="Text Box 547">
          <a:extLst>
            <a:ext uri="{FF2B5EF4-FFF2-40B4-BE49-F238E27FC236}">
              <a16:creationId xmlns:a16="http://schemas.microsoft.com/office/drawing/2014/main" id="{24C43DB3-DE2E-69CD-6BAA-67EBC41ABC34}"/>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68580</xdr:rowOff>
    </xdr:to>
    <xdr:sp macro="" textlink="">
      <xdr:nvSpPr>
        <xdr:cNvPr id="1999" name="Text Box 548">
          <a:extLst>
            <a:ext uri="{FF2B5EF4-FFF2-40B4-BE49-F238E27FC236}">
              <a16:creationId xmlns:a16="http://schemas.microsoft.com/office/drawing/2014/main" id="{4FE5E2E6-477D-7E65-A2BC-E90B85E2EE37}"/>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2000" name="Text Box 549">
          <a:extLst>
            <a:ext uri="{FF2B5EF4-FFF2-40B4-BE49-F238E27FC236}">
              <a16:creationId xmlns:a16="http://schemas.microsoft.com/office/drawing/2014/main" id="{A8027B6D-4170-FD17-D660-63E322F60A20}"/>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83</xdr:row>
      <xdr:rowOff>0</xdr:rowOff>
    </xdr:from>
    <xdr:to>
      <xdr:col>66</xdr:col>
      <xdr:colOff>638175</xdr:colOff>
      <xdr:row>83</xdr:row>
      <xdr:rowOff>0</xdr:rowOff>
    </xdr:to>
    <xdr:sp macro="" textlink="">
      <xdr:nvSpPr>
        <xdr:cNvPr id="776" name="Text Box 550">
          <a:extLst>
            <a:ext uri="{FF2B5EF4-FFF2-40B4-BE49-F238E27FC236}">
              <a16:creationId xmlns:a16="http://schemas.microsoft.com/office/drawing/2014/main" id="{6BABE223-B737-A343-CDA9-173AC2E621ED}"/>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66</xdr:col>
      <xdr:colOff>638175</xdr:colOff>
      <xdr:row>87</xdr:row>
      <xdr:rowOff>0</xdr:rowOff>
    </xdr:from>
    <xdr:to>
      <xdr:col>66</xdr:col>
      <xdr:colOff>638175</xdr:colOff>
      <xdr:row>87</xdr:row>
      <xdr:rowOff>0</xdr:rowOff>
    </xdr:to>
    <xdr:sp macro="" textlink="">
      <xdr:nvSpPr>
        <xdr:cNvPr id="777" name="Text Box 746">
          <a:extLst>
            <a:ext uri="{FF2B5EF4-FFF2-40B4-BE49-F238E27FC236}">
              <a16:creationId xmlns:a16="http://schemas.microsoft.com/office/drawing/2014/main" id="{D3697B3F-603A-B1E4-405B-C49D9322E449}"/>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68580</xdr:rowOff>
    </xdr:to>
    <xdr:sp macro="" textlink="">
      <xdr:nvSpPr>
        <xdr:cNvPr id="2003" name="Text Box 875">
          <a:extLst>
            <a:ext uri="{FF2B5EF4-FFF2-40B4-BE49-F238E27FC236}">
              <a16:creationId xmlns:a16="http://schemas.microsoft.com/office/drawing/2014/main" id="{755ABC41-74E4-3527-CE34-DF3B55D63567}"/>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2004" name="Text Box 876">
          <a:extLst>
            <a:ext uri="{FF2B5EF4-FFF2-40B4-BE49-F238E27FC236}">
              <a16:creationId xmlns:a16="http://schemas.microsoft.com/office/drawing/2014/main" id="{776508FA-86E8-A197-1F96-247542EEA70E}"/>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2005" name="Text Box 877">
          <a:extLst>
            <a:ext uri="{FF2B5EF4-FFF2-40B4-BE49-F238E27FC236}">
              <a16:creationId xmlns:a16="http://schemas.microsoft.com/office/drawing/2014/main" id="{66B5440E-0D52-842F-48E7-716CF1D7EB0A}"/>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2006" name="Text Box 878">
          <a:extLst>
            <a:ext uri="{FF2B5EF4-FFF2-40B4-BE49-F238E27FC236}">
              <a16:creationId xmlns:a16="http://schemas.microsoft.com/office/drawing/2014/main" id="{4D606930-ED47-72AB-8980-1D01D3360695}"/>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82</xdr:row>
      <xdr:rowOff>0</xdr:rowOff>
    </xdr:from>
    <xdr:to>
      <xdr:col>66</xdr:col>
      <xdr:colOff>638175</xdr:colOff>
      <xdr:row>82</xdr:row>
      <xdr:rowOff>0</xdr:rowOff>
    </xdr:to>
    <xdr:sp macro="" textlink="">
      <xdr:nvSpPr>
        <xdr:cNvPr id="782" name="Text Box 879">
          <a:extLst>
            <a:ext uri="{FF2B5EF4-FFF2-40B4-BE49-F238E27FC236}">
              <a16:creationId xmlns:a16="http://schemas.microsoft.com/office/drawing/2014/main" id="{6BA41B8A-2353-DD72-4ED3-CC9806228C5B}"/>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68580</xdr:rowOff>
    </xdr:to>
    <xdr:sp macro="" textlink="">
      <xdr:nvSpPr>
        <xdr:cNvPr id="2008" name="Text Box 880">
          <a:extLst>
            <a:ext uri="{FF2B5EF4-FFF2-40B4-BE49-F238E27FC236}">
              <a16:creationId xmlns:a16="http://schemas.microsoft.com/office/drawing/2014/main" id="{8CA03C91-C5AD-3C70-4574-79A4D348E961}"/>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68580</xdr:rowOff>
    </xdr:to>
    <xdr:sp macro="" textlink="">
      <xdr:nvSpPr>
        <xdr:cNvPr id="2009" name="Text Box 881">
          <a:extLst>
            <a:ext uri="{FF2B5EF4-FFF2-40B4-BE49-F238E27FC236}">
              <a16:creationId xmlns:a16="http://schemas.microsoft.com/office/drawing/2014/main" id="{6DB8C128-6AA7-1852-C482-5EA46A99078C}"/>
            </a:ext>
          </a:extLst>
        </xdr:cNvPr>
        <xdr:cNvSpPr txBox="1">
          <a:spLocks noChangeArrowheads="1"/>
        </xdr:cNvSpPr>
      </xdr:nvSpPr>
      <xdr:spPr bwMode="auto">
        <a:xfrm>
          <a:off x="43883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638175</xdr:colOff>
      <xdr:row>83</xdr:row>
      <xdr:rowOff>0</xdr:rowOff>
    </xdr:from>
    <xdr:to>
      <xdr:col>66</xdr:col>
      <xdr:colOff>638175</xdr:colOff>
      <xdr:row>83</xdr:row>
      <xdr:rowOff>0</xdr:rowOff>
    </xdr:to>
    <xdr:sp macro="" textlink="">
      <xdr:nvSpPr>
        <xdr:cNvPr id="785" name="Text Box 882">
          <a:extLst>
            <a:ext uri="{FF2B5EF4-FFF2-40B4-BE49-F238E27FC236}">
              <a16:creationId xmlns:a16="http://schemas.microsoft.com/office/drawing/2014/main" id="{2E268497-7582-E76E-49DF-D2F7CEEA9DB6}"/>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68580</xdr:rowOff>
    </xdr:to>
    <xdr:sp macro="" textlink="">
      <xdr:nvSpPr>
        <xdr:cNvPr id="2011" name="Text Box 449">
          <a:extLst>
            <a:ext uri="{FF2B5EF4-FFF2-40B4-BE49-F238E27FC236}">
              <a16:creationId xmlns:a16="http://schemas.microsoft.com/office/drawing/2014/main" id="{700135C9-F8AC-112B-4D25-0CD831011CFA}"/>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2012" name="Text Box 452">
          <a:extLst>
            <a:ext uri="{FF2B5EF4-FFF2-40B4-BE49-F238E27FC236}">
              <a16:creationId xmlns:a16="http://schemas.microsoft.com/office/drawing/2014/main" id="{A66E316D-A915-4A0F-0081-95FFCD89DCAA}"/>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2013" name="Text Box 545">
          <a:extLst>
            <a:ext uri="{FF2B5EF4-FFF2-40B4-BE49-F238E27FC236}">
              <a16:creationId xmlns:a16="http://schemas.microsoft.com/office/drawing/2014/main" id="{1E87CE0A-2694-3F64-3557-314B8A387096}"/>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2014" name="Text Box 546">
          <a:extLst>
            <a:ext uri="{FF2B5EF4-FFF2-40B4-BE49-F238E27FC236}">
              <a16:creationId xmlns:a16="http://schemas.microsoft.com/office/drawing/2014/main" id="{4A9D5A2A-422B-A33F-30DA-3E33413296DA}"/>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790" name="Text Box 547">
          <a:extLst>
            <a:ext uri="{FF2B5EF4-FFF2-40B4-BE49-F238E27FC236}">
              <a16:creationId xmlns:a16="http://schemas.microsoft.com/office/drawing/2014/main" id="{882FF655-A786-CD29-BEF9-33872EF5727B}"/>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68580</xdr:rowOff>
    </xdr:to>
    <xdr:sp macro="" textlink="">
      <xdr:nvSpPr>
        <xdr:cNvPr id="2016" name="Text Box 548">
          <a:extLst>
            <a:ext uri="{FF2B5EF4-FFF2-40B4-BE49-F238E27FC236}">
              <a16:creationId xmlns:a16="http://schemas.microsoft.com/office/drawing/2014/main" id="{5D8D1002-93A9-FA1E-FEDA-39936188613E}"/>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2017" name="Text Box 549">
          <a:extLst>
            <a:ext uri="{FF2B5EF4-FFF2-40B4-BE49-F238E27FC236}">
              <a16:creationId xmlns:a16="http://schemas.microsoft.com/office/drawing/2014/main" id="{A740E646-7797-49B1-E9A8-9D58A26051DC}"/>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83</xdr:row>
      <xdr:rowOff>0</xdr:rowOff>
    </xdr:from>
    <xdr:to>
      <xdr:col>76</xdr:col>
      <xdr:colOff>1905</xdr:colOff>
      <xdr:row>83</xdr:row>
      <xdr:rowOff>0</xdr:rowOff>
    </xdr:to>
    <xdr:sp macro="" textlink="">
      <xdr:nvSpPr>
        <xdr:cNvPr id="793" name="Text Box 550">
          <a:extLst>
            <a:ext uri="{FF2B5EF4-FFF2-40B4-BE49-F238E27FC236}">
              <a16:creationId xmlns:a16="http://schemas.microsoft.com/office/drawing/2014/main" id="{C8CB7289-34C1-09D3-F3C9-E34457436441}"/>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1905</xdr:colOff>
      <xdr:row>87</xdr:row>
      <xdr:rowOff>0</xdr:rowOff>
    </xdr:from>
    <xdr:to>
      <xdr:col>76</xdr:col>
      <xdr:colOff>1905</xdr:colOff>
      <xdr:row>87</xdr:row>
      <xdr:rowOff>0</xdr:rowOff>
    </xdr:to>
    <xdr:sp macro="" textlink="">
      <xdr:nvSpPr>
        <xdr:cNvPr id="794" name="Text Box 746">
          <a:extLst>
            <a:ext uri="{FF2B5EF4-FFF2-40B4-BE49-F238E27FC236}">
              <a16:creationId xmlns:a16="http://schemas.microsoft.com/office/drawing/2014/main" id="{D538BDF3-B7FD-6B93-D7F8-FD1B044B9277}"/>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68580</xdr:rowOff>
    </xdr:to>
    <xdr:sp macro="" textlink="">
      <xdr:nvSpPr>
        <xdr:cNvPr id="2020" name="Text Box 875">
          <a:extLst>
            <a:ext uri="{FF2B5EF4-FFF2-40B4-BE49-F238E27FC236}">
              <a16:creationId xmlns:a16="http://schemas.microsoft.com/office/drawing/2014/main" id="{86C56188-EFDE-CB3A-F54E-D412FD307585}"/>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2021" name="Text Box 876">
          <a:extLst>
            <a:ext uri="{FF2B5EF4-FFF2-40B4-BE49-F238E27FC236}">
              <a16:creationId xmlns:a16="http://schemas.microsoft.com/office/drawing/2014/main" id="{92DF04F7-C915-EAA9-D764-26E5968D92FA}"/>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2022" name="Text Box 877">
          <a:extLst>
            <a:ext uri="{FF2B5EF4-FFF2-40B4-BE49-F238E27FC236}">
              <a16:creationId xmlns:a16="http://schemas.microsoft.com/office/drawing/2014/main" id="{CC26DB3C-6EDF-09E8-F4B6-FAB85212BAA2}"/>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2023" name="Text Box 878">
          <a:extLst>
            <a:ext uri="{FF2B5EF4-FFF2-40B4-BE49-F238E27FC236}">
              <a16:creationId xmlns:a16="http://schemas.microsoft.com/office/drawing/2014/main" id="{D3CA20EF-B4CB-13B4-6BA0-3DE284671312}"/>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799" name="Text Box 879">
          <a:extLst>
            <a:ext uri="{FF2B5EF4-FFF2-40B4-BE49-F238E27FC236}">
              <a16:creationId xmlns:a16="http://schemas.microsoft.com/office/drawing/2014/main" id="{9DA6190A-8E3B-2564-44C4-495363B7F50B}"/>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68580</xdr:rowOff>
    </xdr:to>
    <xdr:sp macro="" textlink="">
      <xdr:nvSpPr>
        <xdr:cNvPr id="2025" name="Text Box 880">
          <a:extLst>
            <a:ext uri="{FF2B5EF4-FFF2-40B4-BE49-F238E27FC236}">
              <a16:creationId xmlns:a16="http://schemas.microsoft.com/office/drawing/2014/main" id="{5813C5F9-A0D5-50F7-61C1-C24DBA272881}"/>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68580</xdr:rowOff>
    </xdr:to>
    <xdr:sp macro="" textlink="">
      <xdr:nvSpPr>
        <xdr:cNvPr id="2026" name="Text Box 881">
          <a:extLst>
            <a:ext uri="{FF2B5EF4-FFF2-40B4-BE49-F238E27FC236}">
              <a16:creationId xmlns:a16="http://schemas.microsoft.com/office/drawing/2014/main" id="{51A07D06-996B-306B-6677-DF158492F78B}"/>
            </a:ext>
          </a:extLst>
        </xdr:cNvPr>
        <xdr:cNvSpPr txBox="1">
          <a:spLocks noChangeArrowheads="1"/>
        </xdr:cNvSpPr>
      </xdr:nvSpPr>
      <xdr:spPr bwMode="auto">
        <a:xfrm>
          <a:off x="495985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83</xdr:row>
      <xdr:rowOff>0</xdr:rowOff>
    </xdr:from>
    <xdr:to>
      <xdr:col>76</xdr:col>
      <xdr:colOff>1905</xdr:colOff>
      <xdr:row>83</xdr:row>
      <xdr:rowOff>0</xdr:rowOff>
    </xdr:to>
    <xdr:sp macro="" textlink="">
      <xdr:nvSpPr>
        <xdr:cNvPr id="802" name="Text Box 882">
          <a:extLst>
            <a:ext uri="{FF2B5EF4-FFF2-40B4-BE49-F238E27FC236}">
              <a16:creationId xmlns:a16="http://schemas.microsoft.com/office/drawing/2014/main" id="{230A69AB-01F6-AC9D-D0D4-7694FB1CF72C}"/>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28</xdr:row>
      <xdr:rowOff>53340</xdr:rowOff>
    </xdr:from>
    <xdr:to>
      <xdr:col>82</xdr:col>
      <xdr:colOff>0</xdr:colOff>
      <xdr:row>29</xdr:row>
      <xdr:rowOff>68580</xdr:rowOff>
    </xdr:to>
    <xdr:sp macro="" textlink="">
      <xdr:nvSpPr>
        <xdr:cNvPr id="2028" name="Text Box 449">
          <a:extLst>
            <a:ext uri="{FF2B5EF4-FFF2-40B4-BE49-F238E27FC236}">
              <a16:creationId xmlns:a16="http://schemas.microsoft.com/office/drawing/2014/main" id="{5C9C903A-2766-A475-73B2-9F5A25D24737}"/>
            </a:ext>
          </a:extLst>
        </xdr:cNvPr>
        <xdr:cNvSpPr txBox="1">
          <a:spLocks noChangeArrowheads="1"/>
        </xdr:cNvSpPr>
      </xdr:nvSpPr>
      <xdr:spPr bwMode="auto">
        <a:xfrm>
          <a:off x="54864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68580</xdr:rowOff>
    </xdr:to>
    <xdr:sp macro="" textlink="">
      <xdr:nvSpPr>
        <xdr:cNvPr id="2029" name="Text Box 452">
          <a:extLst>
            <a:ext uri="{FF2B5EF4-FFF2-40B4-BE49-F238E27FC236}">
              <a16:creationId xmlns:a16="http://schemas.microsoft.com/office/drawing/2014/main" id="{991FCFF0-881F-0183-3592-95CBAA779FB4}"/>
            </a:ext>
          </a:extLst>
        </xdr:cNvPr>
        <xdr:cNvSpPr txBox="1">
          <a:spLocks noChangeArrowheads="1"/>
        </xdr:cNvSpPr>
      </xdr:nvSpPr>
      <xdr:spPr bwMode="auto">
        <a:xfrm>
          <a:off x="54864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68580</xdr:rowOff>
    </xdr:to>
    <xdr:sp macro="" textlink="">
      <xdr:nvSpPr>
        <xdr:cNvPr id="2030" name="Text Box 545">
          <a:extLst>
            <a:ext uri="{FF2B5EF4-FFF2-40B4-BE49-F238E27FC236}">
              <a16:creationId xmlns:a16="http://schemas.microsoft.com/office/drawing/2014/main" id="{093901A9-E7BB-B9AF-FD17-47A5ADF2D43A}"/>
            </a:ext>
          </a:extLst>
        </xdr:cNvPr>
        <xdr:cNvSpPr txBox="1">
          <a:spLocks noChangeArrowheads="1"/>
        </xdr:cNvSpPr>
      </xdr:nvSpPr>
      <xdr:spPr bwMode="auto">
        <a:xfrm>
          <a:off x="54864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68580</xdr:rowOff>
    </xdr:to>
    <xdr:sp macro="" textlink="">
      <xdr:nvSpPr>
        <xdr:cNvPr id="2031" name="Text Box 546">
          <a:extLst>
            <a:ext uri="{FF2B5EF4-FFF2-40B4-BE49-F238E27FC236}">
              <a16:creationId xmlns:a16="http://schemas.microsoft.com/office/drawing/2014/main" id="{F7AD90E4-F7D2-C7B2-6CFF-939E6CEA3849}"/>
            </a:ext>
          </a:extLst>
        </xdr:cNvPr>
        <xdr:cNvSpPr txBox="1">
          <a:spLocks noChangeArrowheads="1"/>
        </xdr:cNvSpPr>
      </xdr:nvSpPr>
      <xdr:spPr bwMode="auto">
        <a:xfrm>
          <a:off x="54864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82</xdr:row>
      <xdr:rowOff>0</xdr:rowOff>
    </xdr:from>
    <xdr:to>
      <xdr:col>82</xdr:col>
      <xdr:colOff>1905</xdr:colOff>
      <xdr:row>82</xdr:row>
      <xdr:rowOff>0</xdr:rowOff>
    </xdr:to>
    <xdr:sp macro="" textlink="">
      <xdr:nvSpPr>
        <xdr:cNvPr id="807" name="Text Box 547">
          <a:extLst>
            <a:ext uri="{FF2B5EF4-FFF2-40B4-BE49-F238E27FC236}">
              <a16:creationId xmlns:a16="http://schemas.microsoft.com/office/drawing/2014/main" id="{10DEAE1C-CA74-DE11-EC84-19ECD0D557ED}"/>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28</xdr:row>
      <xdr:rowOff>53340</xdr:rowOff>
    </xdr:from>
    <xdr:to>
      <xdr:col>82</xdr:col>
      <xdr:colOff>0</xdr:colOff>
      <xdr:row>29</xdr:row>
      <xdr:rowOff>68580</xdr:rowOff>
    </xdr:to>
    <xdr:sp macro="" textlink="">
      <xdr:nvSpPr>
        <xdr:cNvPr id="2033" name="Text Box 548">
          <a:extLst>
            <a:ext uri="{FF2B5EF4-FFF2-40B4-BE49-F238E27FC236}">
              <a16:creationId xmlns:a16="http://schemas.microsoft.com/office/drawing/2014/main" id="{218ABDFC-9DBD-C000-A524-55D3C3374ADC}"/>
            </a:ext>
          </a:extLst>
        </xdr:cNvPr>
        <xdr:cNvSpPr txBox="1">
          <a:spLocks noChangeArrowheads="1"/>
        </xdr:cNvSpPr>
      </xdr:nvSpPr>
      <xdr:spPr bwMode="auto">
        <a:xfrm>
          <a:off x="54864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68580</xdr:rowOff>
    </xdr:to>
    <xdr:sp macro="" textlink="">
      <xdr:nvSpPr>
        <xdr:cNvPr id="2034" name="Text Box 549">
          <a:extLst>
            <a:ext uri="{FF2B5EF4-FFF2-40B4-BE49-F238E27FC236}">
              <a16:creationId xmlns:a16="http://schemas.microsoft.com/office/drawing/2014/main" id="{5CF2D4A2-8C65-879A-5D6B-BEC5165069C6}"/>
            </a:ext>
          </a:extLst>
        </xdr:cNvPr>
        <xdr:cNvSpPr txBox="1">
          <a:spLocks noChangeArrowheads="1"/>
        </xdr:cNvSpPr>
      </xdr:nvSpPr>
      <xdr:spPr bwMode="auto">
        <a:xfrm>
          <a:off x="54864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83</xdr:row>
      <xdr:rowOff>0</xdr:rowOff>
    </xdr:from>
    <xdr:to>
      <xdr:col>82</xdr:col>
      <xdr:colOff>1905</xdr:colOff>
      <xdr:row>83</xdr:row>
      <xdr:rowOff>0</xdr:rowOff>
    </xdr:to>
    <xdr:sp macro="" textlink="">
      <xdr:nvSpPr>
        <xdr:cNvPr id="810" name="Text Box 550">
          <a:extLst>
            <a:ext uri="{FF2B5EF4-FFF2-40B4-BE49-F238E27FC236}">
              <a16:creationId xmlns:a16="http://schemas.microsoft.com/office/drawing/2014/main" id="{E07866FE-0E43-51D1-7DB8-6D82FB28359E}"/>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1905</xdr:colOff>
      <xdr:row>87</xdr:row>
      <xdr:rowOff>0</xdr:rowOff>
    </xdr:from>
    <xdr:to>
      <xdr:col>82</xdr:col>
      <xdr:colOff>1905</xdr:colOff>
      <xdr:row>87</xdr:row>
      <xdr:rowOff>0</xdr:rowOff>
    </xdr:to>
    <xdr:sp macro="" textlink="">
      <xdr:nvSpPr>
        <xdr:cNvPr id="811" name="Text Box 746">
          <a:extLst>
            <a:ext uri="{FF2B5EF4-FFF2-40B4-BE49-F238E27FC236}">
              <a16:creationId xmlns:a16="http://schemas.microsoft.com/office/drawing/2014/main" id="{8D3C2B5A-242B-79B2-4765-A1AB55DAF605}"/>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28</xdr:row>
      <xdr:rowOff>53340</xdr:rowOff>
    </xdr:from>
    <xdr:to>
      <xdr:col>82</xdr:col>
      <xdr:colOff>0</xdr:colOff>
      <xdr:row>29</xdr:row>
      <xdr:rowOff>68580</xdr:rowOff>
    </xdr:to>
    <xdr:sp macro="" textlink="">
      <xdr:nvSpPr>
        <xdr:cNvPr id="2037" name="Text Box 875">
          <a:extLst>
            <a:ext uri="{FF2B5EF4-FFF2-40B4-BE49-F238E27FC236}">
              <a16:creationId xmlns:a16="http://schemas.microsoft.com/office/drawing/2014/main" id="{C9D1A9AE-AC55-5DCA-0394-7D315113823A}"/>
            </a:ext>
          </a:extLst>
        </xdr:cNvPr>
        <xdr:cNvSpPr txBox="1">
          <a:spLocks noChangeArrowheads="1"/>
        </xdr:cNvSpPr>
      </xdr:nvSpPr>
      <xdr:spPr bwMode="auto">
        <a:xfrm>
          <a:off x="54864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68580</xdr:rowOff>
    </xdr:to>
    <xdr:sp macro="" textlink="">
      <xdr:nvSpPr>
        <xdr:cNvPr id="2038" name="Text Box 876">
          <a:extLst>
            <a:ext uri="{FF2B5EF4-FFF2-40B4-BE49-F238E27FC236}">
              <a16:creationId xmlns:a16="http://schemas.microsoft.com/office/drawing/2014/main" id="{B64EE6D9-8CF0-8A5C-29A0-E81F9796DD30}"/>
            </a:ext>
          </a:extLst>
        </xdr:cNvPr>
        <xdr:cNvSpPr txBox="1">
          <a:spLocks noChangeArrowheads="1"/>
        </xdr:cNvSpPr>
      </xdr:nvSpPr>
      <xdr:spPr bwMode="auto">
        <a:xfrm>
          <a:off x="54864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68580</xdr:rowOff>
    </xdr:to>
    <xdr:sp macro="" textlink="">
      <xdr:nvSpPr>
        <xdr:cNvPr id="2039" name="Text Box 877">
          <a:extLst>
            <a:ext uri="{FF2B5EF4-FFF2-40B4-BE49-F238E27FC236}">
              <a16:creationId xmlns:a16="http://schemas.microsoft.com/office/drawing/2014/main" id="{E7632B7C-0B65-FDDE-C725-45A4716284D1}"/>
            </a:ext>
          </a:extLst>
        </xdr:cNvPr>
        <xdr:cNvSpPr txBox="1">
          <a:spLocks noChangeArrowheads="1"/>
        </xdr:cNvSpPr>
      </xdr:nvSpPr>
      <xdr:spPr bwMode="auto">
        <a:xfrm>
          <a:off x="54864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68580</xdr:rowOff>
    </xdr:to>
    <xdr:sp macro="" textlink="">
      <xdr:nvSpPr>
        <xdr:cNvPr id="2040" name="Text Box 878">
          <a:extLst>
            <a:ext uri="{FF2B5EF4-FFF2-40B4-BE49-F238E27FC236}">
              <a16:creationId xmlns:a16="http://schemas.microsoft.com/office/drawing/2014/main" id="{F0884263-9F61-E6BF-FDD6-F8CA11BC5221}"/>
            </a:ext>
          </a:extLst>
        </xdr:cNvPr>
        <xdr:cNvSpPr txBox="1">
          <a:spLocks noChangeArrowheads="1"/>
        </xdr:cNvSpPr>
      </xdr:nvSpPr>
      <xdr:spPr bwMode="auto">
        <a:xfrm>
          <a:off x="54864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82</xdr:row>
      <xdr:rowOff>0</xdr:rowOff>
    </xdr:from>
    <xdr:to>
      <xdr:col>82</xdr:col>
      <xdr:colOff>1905</xdr:colOff>
      <xdr:row>82</xdr:row>
      <xdr:rowOff>0</xdr:rowOff>
    </xdr:to>
    <xdr:sp macro="" textlink="">
      <xdr:nvSpPr>
        <xdr:cNvPr id="816" name="Text Box 879">
          <a:extLst>
            <a:ext uri="{FF2B5EF4-FFF2-40B4-BE49-F238E27FC236}">
              <a16:creationId xmlns:a16="http://schemas.microsoft.com/office/drawing/2014/main" id="{06C677C6-C8F5-856A-EC1F-AA8716AB3F52}"/>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28</xdr:row>
      <xdr:rowOff>53340</xdr:rowOff>
    </xdr:from>
    <xdr:to>
      <xdr:col>82</xdr:col>
      <xdr:colOff>0</xdr:colOff>
      <xdr:row>29</xdr:row>
      <xdr:rowOff>68580</xdr:rowOff>
    </xdr:to>
    <xdr:sp macro="" textlink="">
      <xdr:nvSpPr>
        <xdr:cNvPr id="2042" name="Text Box 880">
          <a:extLst>
            <a:ext uri="{FF2B5EF4-FFF2-40B4-BE49-F238E27FC236}">
              <a16:creationId xmlns:a16="http://schemas.microsoft.com/office/drawing/2014/main" id="{5BBDA737-3CFA-31F5-B4C1-A52CB183EAF5}"/>
            </a:ext>
          </a:extLst>
        </xdr:cNvPr>
        <xdr:cNvSpPr txBox="1">
          <a:spLocks noChangeArrowheads="1"/>
        </xdr:cNvSpPr>
      </xdr:nvSpPr>
      <xdr:spPr bwMode="auto">
        <a:xfrm>
          <a:off x="54864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68580</xdr:rowOff>
    </xdr:to>
    <xdr:sp macro="" textlink="">
      <xdr:nvSpPr>
        <xdr:cNvPr id="2043" name="Text Box 881">
          <a:extLst>
            <a:ext uri="{FF2B5EF4-FFF2-40B4-BE49-F238E27FC236}">
              <a16:creationId xmlns:a16="http://schemas.microsoft.com/office/drawing/2014/main" id="{1CB1456A-CA7F-4680-6618-EDE5DE07241F}"/>
            </a:ext>
          </a:extLst>
        </xdr:cNvPr>
        <xdr:cNvSpPr txBox="1">
          <a:spLocks noChangeArrowheads="1"/>
        </xdr:cNvSpPr>
      </xdr:nvSpPr>
      <xdr:spPr bwMode="auto">
        <a:xfrm>
          <a:off x="54864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83</xdr:row>
      <xdr:rowOff>0</xdr:rowOff>
    </xdr:from>
    <xdr:to>
      <xdr:col>82</xdr:col>
      <xdr:colOff>1905</xdr:colOff>
      <xdr:row>83</xdr:row>
      <xdr:rowOff>0</xdr:rowOff>
    </xdr:to>
    <xdr:sp macro="" textlink="">
      <xdr:nvSpPr>
        <xdr:cNvPr id="819" name="Text Box 882">
          <a:extLst>
            <a:ext uri="{FF2B5EF4-FFF2-40B4-BE49-F238E27FC236}">
              <a16:creationId xmlns:a16="http://schemas.microsoft.com/office/drawing/2014/main" id="{F3F7AC93-CA60-BD56-83FC-A55130025D80}"/>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68580</xdr:rowOff>
    </xdr:to>
    <xdr:sp macro="" textlink="">
      <xdr:nvSpPr>
        <xdr:cNvPr id="2045" name="Text Box 449">
          <a:extLst>
            <a:ext uri="{FF2B5EF4-FFF2-40B4-BE49-F238E27FC236}">
              <a16:creationId xmlns:a16="http://schemas.microsoft.com/office/drawing/2014/main" id="{D37A13D1-A518-D3D7-03DF-13C1B160A5F9}"/>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2046" name="Text Box 452">
          <a:extLst>
            <a:ext uri="{FF2B5EF4-FFF2-40B4-BE49-F238E27FC236}">
              <a16:creationId xmlns:a16="http://schemas.microsoft.com/office/drawing/2014/main" id="{556E1F26-47A2-AAE7-334E-C4B9BD2C277B}"/>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2047" name="Text Box 545">
          <a:extLst>
            <a:ext uri="{FF2B5EF4-FFF2-40B4-BE49-F238E27FC236}">
              <a16:creationId xmlns:a16="http://schemas.microsoft.com/office/drawing/2014/main" id="{F63F4ABB-4D58-09A1-9B15-1F8F89D2B85E}"/>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2048" name="Text Box 546">
          <a:extLst>
            <a:ext uri="{FF2B5EF4-FFF2-40B4-BE49-F238E27FC236}">
              <a16:creationId xmlns:a16="http://schemas.microsoft.com/office/drawing/2014/main" id="{8DB04DEA-E2BF-45B0-D277-9C2C3F0F314D}"/>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824" name="Text Box 547">
          <a:extLst>
            <a:ext uri="{FF2B5EF4-FFF2-40B4-BE49-F238E27FC236}">
              <a16:creationId xmlns:a16="http://schemas.microsoft.com/office/drawing/2014/main" id="{ECD25A28-13C2-F80A-A9A8-3FA4422DC575}"/>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68580</xdr:rowOff>
    </xdr:to>
    <xdr:sp macro="" textlink="">
      <xdr:nvSpPr>
        <xdr:cNvPr id="2050" name="Text Box 548">
          <a:extLst>
            <a:ext uri="{FF2B5EF4-FFF2-40B4-BE49-F238E27FC236}">
              <a16:creationId xmlns:a16="http://schemas.microsoft.com/office/drawing/2014/main" id="{F9D4331B-57EC-D2A3-8CE1-59319F02996C}"/>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2051" name="Text Box 549">
          <a:extLst>
            <a:ext uri="{FF2B5EF4-FFF2-40B4-BE49-F238E27FC236}">
              <a16:creationId xmlns:a16="http://schemas.microsoft.com/office/drawing/2014/main" id="{08625476-12B6-79A8-97EA-887E6ED45BF8}"/>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83</xdr:row>
      <xdr:rowOff>0</xdr:rowOff>
    </xdr:from>
    <xdr:to>
      <xdr:col>89</xdr:col>
      <xdr:colOff>1905</xdr:colOff>
      <xdr:row>83</xdr:row>
      <xdr:rowOff>0</xdr:rowOff>
    </xdr:to>
    <xdr:sp macro="" textlink="">
      <xdr:nvSpPr>
        <xdr:cNvPr id="827" name="Text Box 550">
          <a:extLst>
            <a:ext uri="{FF2B5EF4-FFF2-40B4-BE49-F238E27FC236}">
              <a16:creationId xmlns:a16="http://schemas.microsoft.com/office/drawing/2014/main" id="{9138E587-DF6E-A253-C24D-6B2900966E33}"/>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1905</xdr:colOff>
      <xdr:row>87</xdr:row>
      <xdr:rowOff>0</xdr:rowOff>
    </xdr:from>
    <xdr:to>
      <xdr:col>89</xdr:col>
      <xdr:colOff>1905</xdr:colOff>
      <xdr:row>87</xdr:row>
      <xdr:rowOff>0</xdr:rowOff>
    </xdr:to>
    <xdr:sp macro="" textlink="">
      <xdr:nvSpPr>
        <xdr:cNvPr id="828" name="Text Box 746">
          <a:extLst>
            <a:ext uri="{FF2B5EF4-FFF2-40B4-BE49-F238E27FC236}">
              <a16:creationId xmlns:a16="http://schemas.microsoft.com/office/drawing/2014/main" id="{4285DC35-09C1-EB2A-7160-65BD811FA278}"/>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68580</xdr:rowOff>
    </xdr:to>
    <xdr:sp macro="" textlink="">
      <xdr:nvSpPr>
        <xdr:cNvPr id="2054" name="Text Box 875">
          <a:extLst>
            <a:ext uri="{FF2B5EF4-FFF2-40B4-BE49-F238E27FC236}">
              <a16:creationId xmlns:a16="http://schemas.microsoft.com/office/drawing/2014/main" id="{D307278B-01E8-0BC2-EA9D-F8D144A61841}"/>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2055" name="Text Box 876">
          <a:extLst>
            <a:ext uri="{FF2B5EF4-FFF2-40B4-BE49-F238E27FC236}">
              <a16:creationId xmlns:a16="http://schemas.microsoft.com/office/drawing/2014/main" id="{57D99251-8F35-50A1-D5B3-EF071714D2CF}"/>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2056" name="Text Box 877">
          <a:extLst>
            <a:ext uri="{FF2B5EF4-FFF2-40B4-BE49-F238E27FC236}">
              <a16:creationId xmlns:a16="http://schemas.microsoft.com/office/drawing/2014/main" id="{D1FFFE5E-02C0-EB48-449D-8CF9D27A07A0}"/>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2057" name="Text Box 878">
          <a:extLst>
            <a:ext uri="{FF2B5EF4-FFF2-40B4-BE49-F238E27FC236}">
              <a16:creationId xmlns:a16="http://schemas.microsoft.com/office/drawing/2014/main" id="{0875323E-0AE7-E48A-9BB2-8CAF5BC8AF0A}"/>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833" name="Text Box 879">
          <a:extLst>
            <a:ext uri="{FF2B5EF4-FFF2-40B4-BE49-F238E27FC236}">
              <a16:creationId xmlns:a16="http://schemas.microsoft.com/office/drawing/2014/main" id="{69C68A0F-9CE4-F04F-AFB3-0BEABF0B17D4}"/>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68580</xdr:rowOff>
    </xdr:to>
    <xdr:sp macro="" textlink="">
      <xdr:nvSpPr>
        <xdr:cNvPr id="2059" name="Text Box 880">
          <a:extLst>
            <a:ext uri="{FF2B5EF4-FFF2-40B4-BE49-F238E27FC236}">
              <a16:creationId xmlns:a16="http://schemas.microsoft.com/office/drawing/2014/main" id="{32BDD224-2198-B302-94B7-703327115084}"/>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68580</xdr:rowOff>
    </xdr:to>
    <xdr:sp macro="" textlink="">
      <xdr:nvSpPr>
        <xdr:cNvPr id="2060" name="Text Box 881">
          <a:extLst>
            <a:ext uri="{FF2B5EF4-FFF2-40B4-BE49-F238E27FC236}">
              <a16:creationId xmlns:a16="http://schemas.microsoft.com/office/drawing/2014/main" id="{B4F2BA0F-B487-9A0E-798E-044283090C81}"/>
            </a:ext>
          </a:extLst>
        </xdr:cNvPr>
        <xdr:cNvSpPr txBox="1">
          <a:spLocks noChangeArrowheads="1"/>
        </xdr:cNvSpPr>
      </xdr:nvSpPr>
      <xdr:spPr bwMode="auto">
        <a:xfrm>
          <a:off x="590245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83</xdr:row>
      <xdr:rowOff>0</xdr:rowOff>
    </xdr:from>
    <xdr:to>
      <xdr:col>89</xdr:col>
      <xdr:colOff>1905</xdr:colOff>
      <xdr:row>83</xdr:row>
      <xdr:rowOff>0</xdr:rowOff>
    </xdr:to>
    <xdr:sp macro="" textlink="">
      <xdr:nvSpPr>
        <xdr:cNvPr id="836" name="Text Box 882">
          <a:extLst>
            <a:ext uri="{FF2B5EF4-FFF2-40B4-BE49-F238E27FC236}">
              <a16:creationId xmlns:a16="http://schemas.microsoft.com/office/drawing/2014/main" id="{C14945FE-0275-59A6-2943-2C2B6F8FFD27}"/>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68580</xdr:rowOff>
    </xdr:to>
    <xdr:sp macro="" textlink="">
      <xdr:nvSpPr>
        <xdr:cNvPr id="2062" name="Text Box 449">
          <a:extLst>
            <a:ext uri="{FF2B5EF4-FFF2-40B4-BE49-F238E27FC236}">
              <a16:creationId xmlns:a16="http://schemas.microsoft.com/office/drawing/2014/main" id="{6C8985B7-1182-8DE7-D6F4-608131915A72}"/>
            </a:ext>
          </a:extLst>
        </xdr:cNvPr>
        <xdr:cNvSpPr txBox="1">
          <a:spLocks noChangeArrowheads="1"/>
        </xdr:cNvSpPr>
      </xdr:nvSpPr>
      <xdr:spPr bwMode="auto">
        <a:xfrm>
          <a:off x="82677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68580</xdr:rowOff>
    </xdr:to>
    <xdr:sp macro="" textlink="">
      <xdr:nvSpPr>
        <xdr:cNvPr id="2063" name="Text Box 452">
          <a:extLst>
            <a:ext uri="{FF2B5EF4-FFF2-40B4-BE49-F238E27FC236}">
              <a16:creationId xmlns:a16="http://schemas.microsoft.com/office/drawing/2014/main" id="{C62E8C4C-2486-5A14-76CF-F9C660CBB2DC}"/>
            </a:ext>
          </a:extLst>
        </xdr:cNvPr>
        <xdr:cNvSpPr txBox="1">
          <a:spLocks noChangeArrowheads="1"/>
        </xdr:cNvSpPr>
      </xdr:nvSpPr>
      <xdr:spPr bwMode="auto">
        <a:xfrm>
          <a:off x="82677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68580</xdr:rowOff>
    </xdr:to>
    <xdr:sp macro="" textlink="">
      <xdr:nvSpPr>
        <xdr:cNvPr id="2064" name="Text Box 545">
          <a:extLst>
            <a:ext uri="{FF2B5EF4-FFF2-40B4-BE49-F238E27FC236}">
              <a16:creationId xmlns:a16="http://schemas.microsoft.com/office/drawing/2014/main" id="{1728184E-8480-7844-5B65-F011CCE03B16}"/>
            </a:ext>
          </a:extLst>
        </xdr:cNvPr>
        <xdr:cNvSpPr txBox="1">
          <a:spLocks noChangeArrowheads="1"/>
        </xdr:cNvSpPr>
      </xdr:nvSpPr>
      <xdr:spPr bwMode="auto">
        <a:xfrm>
          <a:off x="82677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68580</xdr:rowOff>
    </xdr:to>
    <xdr:sp macro="" textlink="">
      <xdr:nvSpPr>
        <xdr:cNvPr id="2065" name="Text Box 546">
          <a:extLst>
            <a:ext uri="{FF2B5EF4-FFF2-40B4-BE49-F238E27FC236}">
              <a16:creationId xmlns:a16="http://schemas.microsoft.com/office/drawing/2014/main" id="{FDAB2E17-85B7-CE8B-38E1-E36D6F31F9B7}"/>
            </a:ext>
          </a:extLst>
        </xdr:cNvPr>
        <xdr:cNvSpPr txBox="1">
          <a:spLocks noChangeArrowheads="1"/>
        </xdr:cNvSpPr>
      </xdr:nvSpPr>
      <xdr:spPr bwMode="auto">
        <a:xfrm>
          <a:off x="82677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82</xdr:row>
      <xdr:rowOff>0</xdr:rowOff>
    </xdr:from>
    <xdr:to>
      <xdr:col>10</xdr:col>
      <xdr:colOff>0</xdr:colOff>
      <xdr:row>82</xdr:row>
      <xdr:rowOff>0</xdr:rowOff>
    </xdr:to>
    <xdr:sp macro="" textlink="">
      <xdr:nvSpPr>
        <xdr:cNvPr id="431" name="Text Box 547">
          <a:extLst>
            <a:ext uri="{FF2B5EF4-FFF2-40B4-BE49-F238E27FC236}">
              <a16:creationId xmlns:a16="http://schemas.microsoft.com/office/drawing/2014/main" id="{34D55C27-208F-DAA2-56BE-7CD02AA69A52}"/>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68580</xdr:rowOff>
    </xdr:to>
    <xdr:sp macro="" textlink="">
      <xdr:nvSpPr>
        <xdr:cNvPr id="2067" name="Text Box 548">
          <a:extLst>
            <a:ext uri="{FF2B5EF4-FFF2-40B4-BE49-F238E27FC236}">
              <a16:creationId xmlns:a16="http://schemas.microsoft.com/office/drawing/2014/main" id="{A1D63775-0FCB-CB75-B4E0-8D2E6FC826F8}"/>
            </a:ext>
          </a:extLst>
        </xdr:cNvPr>
        <xdr:cNvSpPr txBox="1">
          <a:spLocks noChangeArrowheads="1"/>
        </xdr:cNvSpPr>
      </xdr:nvSpPr>
      <xdr:spPr bwMode="auto">
        <a:xfrm>
          <a:off x="82677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68580</xdr:rowOff>
    </xdr:to>
    <xdr:sp macro="" textlink="">
      <xdr:nvSpPr>
        <xdr:cNvPr id="2068" name="Text Box 549">
          <a:extLst>
            <a:ext uri="{FF2B5EF4-FFF2-40B4-BE49-F238E27FC236}">
              <a16:creationId xmlns:a16="http://schemas.microsoft.com/office/drawing/2014/main" id="{A934FC99-8C61-2724-24CA-3C04D06DA7C3}"/>
            </a:ext>
          </a:extLst>
        </xdr:cNvPr>
        <xdr:cNvSpPr txBox="1">
          <a:spLocks noChangeArrowheads="1"/>
        </xdr:cNvSpPr>
      </xdr:nvSpPr>
      <xdr:spPr bwMode="auto">
        <a:xfrm>
          <a:off x="82677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83</xdr:row>
      <xdr:rowOff>0</xdr:rowOff>
    </xdr:from>
    <xdr:to>
      <xdr:col>10</xdr:col>
      <xdr:colOff>0</xdr:colOff>
      <xdr:row>83</xdr:row>
      <xdr:rowOff>0</xdr:rowOff>
    </xdr:to>
    <xdr:sp macro="" textlink="">
      <xdr:nvSpPr>
        <xdr:cNvPr id="434" name="Text Box 550">
          <a:extLst>
            <a:ext uri="{FF2B5EF4-FFF2-40B4-BE49-F238E27FC236}">
              <a16:creationId xmlns:a16="http://schemas.microsoft.com/office/drawing/2014/main" id="{6533CB55-E1FD-3F30-5BAA-62597A46BBB1}"/>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87</xdr:row>
      <xdr:rowOff>0</xdr:rowOff>
    </xdr:from>
    <xdr:to>
      <xdr:col>10</xdr:col>
      <xdr:colOff>0</xdr:colOff>
      <xdr:row>87</xdr:row>
      <xdr:rowOff>0</xdr:rowOff>
    </xdr:to>
    <xdr:sp macro="" textlink="">
      <xdr:nvSpPr>
        <xdr:cNvPr id="435" name="Text Box 746">
          <a:extLst>
            <a:ext uri="{FF2B5EF4-FFF2-40B4-BE49-F238E27FC236}">
              <a16:creationId xmlns:a16="http://schemas.microsoft.com/office/drawing/2014/main" id="{181A9649-B7E8-9BEB-85DD-0D2BC9BC99F8}"/>
            </a:ext>
          </a:extLst>
        </xdr:cNvPr>
        <xdr:cNvSpPr txBox="1">
          <a:spLocks noChangeArrowheads="1"/>
        </xdr:cNvSpPr>
      </xdr:nvSpPr>
      <xdr:spPr bwMode="auto">
        <a:xfrm>
          <a:off x="65722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68580</xdr:rowOff>
    </xdr:to>
    <xdr:sp macro="" textlink="">
      <xdr:nvSpPr>
        <xdr:cNvPr id="2071" name="Text Box 875">
          <a:extLst>
            <a:ext uri="{FF2B5EF4-FFF2-40B4-BE49-F238E27FC236}">
              <a16:creationId xmlns:a16="http://schemas.microsoft.com/office/drawing/2014/main" id="{778DA173-DE60-05B3-98D3-7120B6565EF9}"/>
            </a:ext>
          </a:extLst>
        </xdr:cNvPr>
        <xdr:cNvSpPr txBox="1">
          <a:spLocks noChangeArrowheads="1"/>
        </xdr:cNvSpPr>
      </xdr:nvSpPr>
      <xdr:spPr bwMode="auto">
        <a:xfrm>
          <a:off x="82677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68580</xdr:rowOff>
    </xdr:to>
    <xdr:sp macro="" textlink="">
      <xdr:nvSpPr>
        <xdr:cNvPr id="2072" name="Text Box 876">
          <a:extLst>
            <a:ext uri="{FF2B5EF4-FFF2-40B4-BE49-F238E27FC236}">
              <a16:creationId xmlns:a16="http://schemas.microsoft.com/office/drawing/2014/main" id="{8411310F-1E51-08AD-364F-0099BAF998DC}"/>
            </a:ext>
          </a:extLst>
        </xdr:cNvPr>
        <xdr:cNvSpPr txBox="1">
          <a:spLocks noChangeArrowheads="1"/>
        </xdr:cNvSpPr>
      </xdr:nvSpPr>
      <xdr:spPr bwMode="auto">
        <a:xfrm>
          <a:off x="82677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68580</xdr:rowOff>
    </xdr:to>
    <xdr:sp macro="" textlink="">
      <xdr:nvSpPr>
        <xdr:cNvPr id="2073" name="Text Box 877">
          <a:extLst>
            <a:ext uri="{FF2B5EF4-FFF2-40B4-BE49-F238E27FC236}">
              <a16:creationId xmlns:a16="http://schemas.microsoft.com/office/drawing/2014/main" id="{76DE6538-ABD9-DAC6-796D-524C05A077AE}"/>
            </a:ext>
          </a:extLst>
        </xdr:cNvPr>
        <xdr:cNvSpPr txBox="1">
          <a:spLocks noChangeArrowheads="1"/>
        </xdr:cNvSpPr>
      </xdr:nvSpPr>
      <xdr:spPr bwMode="auto">
        <a:xfrm>
          <a:off x="82677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68580</xdr:rowOff>
    </xdr:to>
    <xdr:sp macro="" textlink="">
      <xdr:nvSpPr>
        <xdr:cNvPr id="2074" name="Text Box 878">
          <a:extLst>
            <a:ext uri="{FF2B5EF4-FFF2-40B4-BE49-F238E27FC236}">
              <a16:creationId xmlns:a16="http://schemas.microsoft.com/office/drawing/2014/main" id="{13130A48-B652-765D-396B-BBB751149018}"/>
            </a:ext>
          </a:extLst>
        </xdr:cNvPr>
        <xdr:cNvSpPr txBox="1">
          <a:spLocks noChangeArrowheads="1"/>
        </xdr:cNvSpPr>
      </xdr:nvSpPr>
      <xdr:spPr bwMode="auto">
        <a:xfrm>
          <a:off x="82677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82</xdr:row>
      <xdr:rowOff>0</xdr:rowOff>
    </xdr:from>
    <xdr:to>
      <xdr:col>10</xdr:col>
      <xdr:colOff>0</xdr:colOff>
      <xdr:row>82</xdr:row>
      <xdr:rowOff>0</xdr:rowOff>
    </xdr:to>
    <xdr:sp macro="" textlink="">
      <xdr:nvSpPr>
        <xdr:cNvPr id="440" name="Text Box 879">
          <a:extLst>
            <a:ext uri="{FF2B5EF4-FFF2-40B4-BE49-F238E27FC236}">
              <a16:creationId xmlns:a16="http://schemas.microsoft.com/office/drawing/2014/main" id="{2E699709-B421-2C93-3C3C-15D1B891C83B}"/>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68580</xdr:rowOff>
    </xdr:to>
    <xdr:sp macro="" textlink="">
      <xdr:nvSpPr>
        <xdr:cNvPr id="2076" name="Text Box 880">
          <a:extLst>
            <a:ext uri="{FF2B5EF4-FFF2-40B4-BE49-F238E27FC236}">
              <a16:creationId xmlns:a16="http://schemas.microsoft.com/office/drawing/2014/main" id="{85D67714-D093-562E-385B-6B5D7AF57F83}"/>
            </a:ext>
          </a:extLst>
        </xdr:cNvPr>
        <xdr:cNvSpPr txBox="1">
          <a:spLocks noChangeArrowheads="1"/>
        </xdr:cNvSpPr>
      </xdr:nvSpPr>
      <xdr:spPr bwMode="auto">
        <a:xfrm>
          <a:off x="82677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68580</xdr:rowOff>
    </xdr:to>
    <xdr:sp macro="" textlink="">
      <xdr:nvSpPr>
        <xdr:cNvPr id="2077" name="Text Box 881">
          <a:extLst>
            <a:ext uri="{FF2B5EF4-FFF2-40B4-BE49-F238E27FC236}">
              <a16:creationId xmlns:a16="http://schemas.microsoft.com/office/drawing/2014/main" id="{969A94E9-E310-350E-82A6-5BF551E6AE76}"/>
            </a:ext>
          </a:extLst>
        </xdr:cNvPr>
        <xdr:cNvSpPr txBox="1">
          <a:spLocks noChangeArrowheads="1"/>
        </xdr:cNvSpPr>
      </xdr:nvSpPr>
      <xdr:spPr bwMode="auto">
        <a:xfrm>
          <a:off x="82677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83</xdr:row>
      <xdr:rowOff>0</xdr:rowOff>
    </xdr:from>
    <xdr:to>
      <xdr:col>10</xdr:col>
      <xdr:colOff>0</xdr:colOff>
      <xdr:row>83</xdr:row>
      <xdr:rowOff>0</xdr:rowOff>
    </xdr:to>
    <xdr:sp macro="" textlink="">
      <xdr:nvSpPr>
        <xdr:cNvPr id="443" name="Text Box 882">
          <a:extLst>
            <a:ext uri="{FF2B5EF4-FFF2-40B4-BE49-F238E27FC236}">
              <a16:creationId xmlns:a16="http://schemas.microsoft.com/office/drawing/2014/main" id="{5BB229A9-951B-7BED-AE15-B37A7D2C5C9A}"/>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28</xdr:row>
      <xdr:rowOff>53340</xdr:rowOff>
    </xdr:from>
    <xdr:to>
      <xdr:col>18</xdr:col>
      <xdr:colOff>0</xdr:colOff>
      <xdr:row>29</xdr:row>
      <xdr:rowOff>68580</xdr:rowOff>
    </xdr:to>
    <xdr:sp macro="" textlink="">
      <xdr:nvSpPr>
        <xdr:cNvPr id="2079" name="Text Box 449">
          <a:extLst>
            <a:ext uri="{FF2B5EF4-FFF2-40B4-BE49-F238E27FC236}">
              <a16:creationId xmlns:a16="http://schemas.microsoft.com/office/drawing/2014/main" id="{282091A9-3A38-1AEE-E468-FBA81E1E7ED2}"/>
            </a:ext>
          </a:extLst>
        </xdr:cNvPr>
        <xdr:cNvSpPr txBox="1">
          <a:spLocks noChangeArrowheads="1"/>
        </xdr:cNvSpPr>
      </xdr:nvSpPr>
      <xdr:spPr bwMode="auto">
        <a:xfrm>
          <a:off x="132283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68580</xdr:rowOff>
    </xdr:to>
    <xdr:sp macro="" textlink="">
      <xdr:nvSpPr>
        <xdr:cNvPr id="2080" name="Text Box 452">
          <a:extLst>
            <a:ext uri="{FF2B5EF4-FFF2-40B4-BE49-F238E27FC236}">
              <a16:creationId xmlns:a16="http://schemas.microsoft.com/office/drawing/2014/main" id="{6E947F70-A01F-F764-70F7-4BFF0A5D7097}"/>
            </a:ext>
          </a:extLst>
        </xdr:cNvPr>
        <xdr:cNvSpPr txBox="1">
          <a:spLocks noChangeArrowheads="1"/>
        </xdr:cNvSpPr>
      </xdr:nvSpPr>
      <xdr:spPr bwMode="auto">
        <a:xfrm>
          <a:off x="132283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68580</xdr:rowOff>
    </xdr:to>
    <xdr:sp macro="" textlink="">
      <xdr:nvSpPr>
        <xdr:cNvPr id="2081" name="Text Box 545">
          <a:extLst>
            <a:ext uri="{FF2B5EF4-FFF2-40B4-BE49-F238E27FC236}">
              <a16:creationId xmlns:a16="http://schemas.microsoft.com/office/drawing/2014/main" id="{BF6C9B37-87BE-016F-3729-04478CBBF4F3}"/>
            </a:ext>
          </a:extLst>
        </xdr:cNvPr>
        <xdr:cNvSpPr txBox="1">
          <a:spLocks noChangeArrowheads="1"/>
        </xdr:cNvSpPr>
      </xdr:nvSpPr>
      <xdr:spPr bwMode="auto">
        <a:xfrm>
          <a:off x="132283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68580</xdr:rowOff>
    </xdr:to>
    <xdr:sp macro="" textlink="">
      <xdr:nvSpPr>
        <xdr:cNvPr id="2082" name="Text Box 546">
          <a:extLst>
            <a:ext uri="{FF2B5EF4-FFF2-40B4-BE49-F238E27FC236}">
              <a16:creationId xmlns:a16="http://schemas.microsoft.com/office/drawing/2014/main" id="{14EADE2C-AC54-B333-5B8A-0760BFC10CAA}"/>
            </a:ext>
          </a:extLst>
        </xdr:cNvPr>
        <xdr:cNvSpPr txBox="1">
          <a:spLocks noChangeArrowheads="1"/>
        </xdr:cNvSpPr>
      </xdr:nvSpPr>
      <xdr:spPr bwMode="auto">
        <a:xfrm>
          <a:off x="132283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82</xdr:row>
      <xdr:rowOff>0</xdr:rowOff>
    </xdr:from>
    <xdr:to>
      <xdr:col>18</xdr:col>
      <xdr:colOff>0</xdr:colOff>
      <xdr:row>82</xdr:row>
      <xdr:rowOff>0</xdr:rowOff>
    </xdr:to>
    <xdr:sp macro="" textlink="">
      <xdr:nvSpPr>
        <xdr:cNvPr id="448" name="Text Box 547">
          <a:extLst>
            <a:ext uri="{FF2B5EF4-FFF2-40B4-BE49-F238E27FC236}">
              <a16:creationId xmlns:a16="http://schemas.microsoft.com/office/drawing/2014/main" id="{C2061C5F-3562-9CCA-7BB5-D1BAFD2C2F8B}"/>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28</xdr:row>
      <xdr:rowOff>53340</xdr:rowOff>
    </xdr:from>
    <xdr:to>
      <xdr:col>18</xdr:col>
      <xdr:colOff>0</xdr:colOff>
      <xdr:row>29</xdr:row>
      <xdr:rowOff>68580</xdr:rowOff>
    </xdr:to>
    <xdr:sp macro="" textlink="">
      <xdr:nvSpPr>
        <xdr:cNvPr id="2084" name="Text Box 548">
          <a:extLst>
            <a:ext uri="{FF2B5EF4-FFF2-40B4-BE49-F238E27FC236}">
              <a16:creationId xmlns:a16="http://schemas.microsoft.com/office/drawing/2014/main" id="{7571FAE5-56AA-6AA4-7A58-D36138E6A5AD}"/>
            </a:ext>
          </a:extLst>
        </xdr:cNvPr>
        <xdr:cNvSpPr txBox="1">
          <a:spLocks noChangeArrowheads="1"/>
        </xdr:cNvSpPr>
      </xdr:nvSpPr>
      <xdr:spPr bwMode="auto">
        <a:xfrm>
          <a:off x="132283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68580</xdr:rowOff>
    </xdr:to>
    <xdr:sp macro="" textlink="">
      <xdr:nvSpPr>
        <xdr:cNvPr id="2085" name="Text Box 549">
          <a:extLst>
            <a:ext uri="{FF2B5EF4-FFF2-40B4-BE49-F238E27FC236}">
              <a16:creationId xmlns:a16="http://schemas.microsoft.com/office/drawing/2014/main" id="{5F9ADA98-F747-1858-9F6F-EB6D0C831020}"/>
            </a:ext>
          </a:extLst>
        </xdr:cNvPr>
        <xdr:cNvSpPr txBox="1">
          <a:spLocks noChangeArrowheads="1"/>
        </xdr:cNvSpPr>
      </xdr:nvSpPr>
      <xdr:spPr bwMode="auto">
        <a:xfrm>
          <a:off x="132283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83</xdr:row>
      <xdr:rowOff>0</xdr:rowOff>
    </xdr:from>
    <xdr:to>
      <xdr:col>18</xdr:col>
      <xdr:colOff>0</xdr:colOff>
      <xdr:row>83</xdr:row>
      <xdr:rowOff>0</xdr:rowOff>
    </xdr:to>
    <xdr:sp macro="" textlink="">
      <xdr:nvSpPr>
        <xdr:cNvPr id="451" name="Text Box 550">
          <a:extLst>
            <a:ext uri="{FF2B5EF4-FFF2-40B4-BE49-F238E27FC236}">
              <a16:creationId xmlns:a16="http://schemas.microsoft.com/office/drawing/2014/main" id="{79CFAFA4-910D-1006-1591-F184B3B52441}"/>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87</xdr:row>
      <xdr:rowOff>0</xdr:rowOff>
    </xdr:from>
    <xdr:to>
      <xdr:col>18</xdr:col>
      <xdr:colOff>0</xdr:colOff>
      <xdr:row>87</xdr:row>
      <xdr:rowOff>0</xdr:rowOff>
    </xdr:to>
    <xdr:sp macro="" textlink="">
      <xdr:nvSpPr>
        <xdr:cNvPr id="452" name="Text Box 746">
          <a:extLst>
            <a:ext uri="{FF2B5EF4-FFF2-40B4-BE49-F238E27FC236}">
              <a16:creationId xmlns:a16="http://schemas.microsoft.com/office/drawing/2014/main" id="{4B771118-7112-FB5B-E810-3DED87D909BD}"/>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28</xdr:row>
      <xdr:rowOff>53340</xdr:rowOff>
    </xdr:from>
    <xdr:to>
      <xdr:col>18</xdr:col>
      <xdr:colOff>0</xdr:colOff>
      <xdr:row>29</xdr:row>
      <xdr:rowOff>68580</xdr:rowOff>
    </xdr:to>
    <xdr:sp macro="" textlink="">
      <xdr:nvSpPr>
        <xdr:cNvPr id="2088" name="Text Box 875">
          <a:extLst>
            <a:ext uri="{FF2B5EF4-FFF2-40B4-BE49-F238E27FC236}">
              <a16:creationId xmlns:a16="http://schemas.microsoft.com/office/drawing/2014/main" id="{5E4B7D96-BAEA-1D8C-F891-1D581108A7F1}"/>
            </a:ext>
          </a:extLst>
        </xdr:cNvPr>
        <xdr:cNvSpPr txBox="1">
          <a:spLocks noChangeArrowheads="1"/>
        </xdr:cNvSpPr>
      </xdr:nvSpPr>
      <xdr:spPr bwMode="auto">
        <a:xfrm>
          <a:off x="132283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68580</xdr:rowOff>
    </xdr:to>
    <xdr:sp macro="" textlink="">
      <xdr:nvSpPr>
        <xdr:cNvPr id="2089" name="Text Box 876">
          <a:extLst>
            <a:ext uri="{FF2B5EF4-FFF2-40B4-BE49-F238E27FC236}">
              <a16:creationId xmlns:a16="http://schemas.microsoft.com/office/drawing/2014/main" id="{6C6D207C-51D2-B3DB-1CF3-D894F7E2CC10}"/>
            </a:ext>
          </a:extLst>
        </xdr:cNvPr>
        <xdr:cNvSpPr txBox="1">
          <a:spLocks noChangeArrowheads="1"/>
        </xdr:cNvSpPr>
      </xdr:nvSpPr>
      <xdr:spPr bwMode="auto">
        <a:xfrm>
          <a:off x="132283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68580</xdr:rowOff>
    </xdr:to>
    <xdr:sp macro="" textlink="">
      <xdr:nvSpPr>
        <xdr:cNvPr id="2090" name="Text Box 877">
          <a:extLst>
            <a:ext uri="{FF2B5EF4-FFF2-40B4-BE49-F238E27FC236}">
              <a16:creationId xmlns:a16="http://schemas.microsoft.com/office/drawing/2014/main" id="{3BC1DDE3-81D6-699F-5606-53B16C0640F2}"/>
            </a:ext>
          </a:extLst>
        </xdr:cNvPr>
        <xdr:cNvSpPr txBox="1">
          <a:spLocks noChangeArrowheads="1"/>
        </xdr:cNvSpPr>
      </xdr:nvSpPr>
      <xdr:spPr bwMode="auto">
        <a:xfrm>
          <a:off x="132283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68580</xdr:rowOff>
    </xdr:to>
    <xdr:sp macro="" textlink="">
      <xdr:nvSpPr>
        <xdr:cNvPr id="2091" name="Text Box 878">
          <a:extLst>
            <a:ext uri="{FF2B5EF4-FFF2-40B4-BE49-F238E27FC236}">
              <a16:creationId xmlns:a16="http://schemas.microsoft.com/office/drawing/2014/main" id="{44A4661F-0000-7C11-5C1E-3DF7135D5643}"/>
            </a:ext>
          </a:extLst>
        </xdr:cNvPr>
        <xdr:cNvSpPr txBox="1">
          <a:spLocks noChangeArrowheads="1"/>
        </xdr:cNvSpPr>
      </xdr:nvSpPr>
      <xdr:spPr bwMode="auto">
        <a:xfrm>
          <a:off x="132283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82</xdr:row>
      <xdr:rowOff>0</xdr:rowOff>
    </xdr:from>
    <xdr:to>
      <xdr:col>18</xdr:col>
      <xdr:colOff>0</xdr:colOff>
      <xdr:row>82</xdr:row>
      <xdr:rowOff>0</xdr:rowOff>
    </xdr:to>
    <xdr:sp macro="" textlink="">
      <xdr:nvSpPr>
        <xdr:cNvPr id="457" name="Text Box 879">
          <a:extLst>
            <a:ext uri="{FF2B5EF4-FFF2-40B4-BE49-F238E27FC236}">
              <a16:creationId xmlns:a16="http://schemas.microsoft.com/office/drawing/2014/main" id="{6E975E36-ACF3-DC8F-D15B-337804390740}"/>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0</xdr:colOff>
      <xdr:row>28</xdr:row>
      <xdr:rowOff>53340</xdr:rowOff>
    </xdr:from>
    <xdr:to>
      <xdr:col>18</xdr:col>
      <xdr:colOff>0</xdr:colOff>
      <xdr:row>29</xdr:row>
      <xdr:rowOff>68580</xdr:rowOff>
    </xdr:to>
    <xdr:sp macro="" textlink="">
      <xdr:nvSpPr>
        <xdr:cNvPr id="2093" name="Text Box 880">
          <a:extLst>
            <a:ext uri="{FF2B5EF4-FFF2-40B4-BE49-F238E27FC236}">
              <a16:creationId xmlns:a16="http://schemas.microsoft.com/office/drawing/2014/main" id="{3550AB30-1E2C-60E2-34F2-8DE3F16DB7F4}"/>
            </a:ext>
          </a:extLst>
        </xdr:cNvPr>
        <xdr:cNvSpPr txBox="1">
          <a:spLocks noChangeArrowheads="1"/>
        </xdr:cNvSpPr>
      </xdr:nvSpPr>
      <xdr:spPr bwMode="auto">
        <a:xfrm>
          <a:off x="132283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68580</xdr:rowOff>
    </xdr:to>
    <xdr:sp macro="" textlink="">
      <xdr:nvSpPr>
        <xdr:cNvPr id="2094" name="Text Box 881">
          <a:extLst>
            <a:ext uri="{FF2B5EF4-FFF2-40B4-BE49-F238E27FC236}">
              <a16:creationId xmlns:a16="http://schemas.microsoft.com/office/drawing/2014/main" id="{DA7533F2-F9C7-CD7E-4FE5-9A7FFC46A3E1}"/>
            </a:ext>
          </a:extLst>
        </xdr:cNvPr>
        <xdr:cNvSpPr txBox="1">
          <a:spLocks noChangeArrowheads="1"/>
        </xdr:cNvSpPr>
      </xdr:nvSpPr>
      <xdr:spPr bwMode="auto">
        <a:xfrm>
          <a:off x="132283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83</xdr:row>
      <xdr:rowOff>0</xdr:rowOff>
    </xdr:from>
    <xdr:to>
      <xdr:col>18</xdr:col>
      <xdr:colOff>0</xdr:colOff>
      <xdr:row>83</xdr:row>
      <xdr:rowOff>0</xdr:rowOff>
    </xdr:to>
    <xdr:sp macro="" textlink="">
      <xdr:nvSpPr>
        <xdr:cNvPr id="460" name="Text Box 882">
          <a:extLst>
            <a:ext uri="{FF2B5EF4-FFF2-40B4-BE49-F238E27FC236}">
              <a16:creationId xmlns:a16="http://schemas.microsoft.com/office/drawing/2014/main" id="{E4EF3959-2522-D721-20DA-B7ECCE164E70}"/>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26</xdr:col>
      <xdr:colOff>0</xdr:colOff>
      <xdr:row>28</xdr:row>
      <xdr:rowOff>53340</xdr:rowOff>
    </xdr:from>
    <xdr:to>
      <xdr:col>26</xdr:col>
      <xdr:colOff>0</xdr:colOff>
      <xdr:row>29</xdr:row>
      <xdr:rowOff>68580</xdr:rowOff>
    </xdr:to>
    <xdr:sp macro="" textlink="">
      <xdr:nvSpPr>
        <xdr:cNvPr id="2096" name="Text Box 449">
          <a:extLst>
            <a:ext uri="{FF2B5EF4-FFF2-40B4-BE49-F238E27FC236}">
              <a16:creationId xmlns:a16="http://schemas.microsoft.com/office/drawing/2014/main" id="{E2207C45-6F54-18B3-545C-E11D3ADE0F0E}"/>
            </a:ext>
          </a:extLst>
        </xdr:cNvPr>
        <xdr:cNvSpPr txBox="1">
          <a:spLocks noChangeArrowheads="1"/>
        </xdr:cNvSpPr>
      </xdr:nvSpPr>
      <xdr:spPr bwMode="auto">
        <a:xfrm>
          <a:off x="18288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68580</xdr:rowOff>
    </xdr:to>
    <xdr:sp macro="" textlink="">
      <xdr:nvSpPr>
        <xdr:cNvPr id="2097" name="Text Box 452">
          <a:extLst>
            <a:ext uri="{FF2B5EF4-FFF2-40B4-BE49-F238E27FC236}">
              <a16:creationId xmlns:a16="http://schemas.microsoft.com/office/drawing/2014/main" id="{65622D91-78F7-7013-FC76-F39A0CDA9FB1}"/>
            </a:ext>
          </a:extLst>
        </xdr:cNvPr>
        <xdr:cNvSpPr txBox="1">
          <a:spLocks noChangeArrowheads="1"/>
        </xdr:cNvSpPr>
      </xdr:nvSpPr>
      <xdr:spPr bwMode="auto">
        <a:xfrm>
          <a:off x="18288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68580</xdr:rowOff>
    </xdr:to>
    <xdr:sp macro="" textlink="">
      <xdr:nvSpPr>
        <xdr:cNvPr id="2098" name="Text Box 545">
          <a:extLst>
            <a:ext uri="{FF2B5EF4-FFF2-40B4-BE49-F238E27FC236}">
              <a16:creationId xmlns:a16="http://schemas.microsoft.com/office/drawing/2014/main" id="{51BAE8F1-D187-E443-15EE-710CCC30E7FE}"/>
            </a:ext>
          </a:extLst>
        </xdr:cNvPr>
        <xdr:cNvSpPr txBox="1">
          <a:spLocks noChangeArrowheads="1"/>
        </xdr:cNvSpPr>
      </xdr:nvSpPr>
      <xdr:spPr bwMode="auto">
        <a:xfrm>
          <a:off x="18288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68580</xdr:rowOff>
    </xdr:to>
    <xdr:sp macro="" textlink="">
      <xdr:nvSpPr>
        <xdr:cNvPr id="2099" name="Text Box 546">
          <a:extLst>
            <a:ext uri="{FF2B5EF4-FFF2-40B4-BE49-F238E27FC236}">
              <a16:creationId xmlns:a16="http://schemas.microsoft.com/office/drawing/2014/main" id="{F0B89ACB-EEE0-240F-BD53-CA3BD85D74DC}"/>
            </a:ext>
          </a:extLst>
        </xdr:cNvPr>
        <xdr:cNvSpPr txBox="1">
          <a:spLocks noChangeArrowheads="1"/>
        </xdr:cNvSpPr>
      </xdr:nvSpPr>
      <xdr:spPr bwMode="auto">
        <a:xfrm>
          <a:off x="18288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82</xdr:row>
      <xdr:rowOff>0</xdr:rowOff>
    </xdr:from>
    <xdr:to>
      <xdr:col>26</xdr:col>
      <xdr:colOff>0</xdr:colOff>
      <xdr:row>82</xdr:row>
      <xdr:rowOff>0</xdr:rowOff>
    </xdr:to>
    <xdr:sp macro="" textlink="">
      <xdr:nvSpPr>
        <xdr:cNvPr id="465" name="Text Box 547">
          <a:extLst>
            <a:ext uri="{FF2B5EF4-FFF2-40B4-BE49-F238E27FC236}">
              <a16:creationId xmlns:a16="http://schemas.microsoft.com/office/drawing/2014/main" id="{222627C7-AEBB-9796-8B9D-D8ECC90D0B02}"/>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26</xdr:col>
      <xdr:colOff>0</xdr:colOff>
      <xdr:row>28</xdr:row>
      <xdr:rowOff>53340</xdr:rowOff>
    </xdr:from>
    <xdr:to>
      <xdr:col>26</xdr:col>
      <xdr:colOff>0</xdr:colOff>
      <xdr:row>29</xdr:row>
      <xdr:rowOff>68580</xdr:rowOff>
    </xdr:to>
    <xdr:sp macro="" textlink="">
      <xdr:nvSpPr>
        <xdr:cNvPr id="2101" name="Text Box 548">
          <a:extLst>
            <a:ext uri="{FF2B5EF4-FFF2-40B4-BE49-F238E27FC236}">
              <a16:creationId xmlns:a16="http://schemas.microsoft.com/office/drawing/2014/main" id="{A5D7443D-86E3-C1FE-59A4-000BE2A7C76A}"/>
            </a:ext>
          </a:extLst>
        </xdr:cNvPr>
        <xdr:cNvSpPr txBox="1">
          <a:spLocks noChangeArrowheads="1"/>
        </xdr:cNvSpPr>
      </xdr:nvSpPr>
      <xdr:spPr bwMode="auto">
        <a:xfrm>
          <a:off x="18288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68580</xdr:rowOff>
    </xdr:to>
    <xdr:sp macro="" textlink="">
      <xdr:nvSpPr>
        <xdr:cNvPr id="2102" name="Text Box 549">
          <a:extLst>
            <a:ext uri="{FF2B5EF4-FFF2-40B4-BE49-F238E27FC236}">
              <a16:creationId xmlns:a16="http://schemas.microsoft.com/office/drawing/2014/main" id="{A364DC85-445B-DF26-5D9B-467B69A6D783}"/>
            </a:ext>
          </a:extLst>
        </xdr:cNvPr>
        <xdr:cNvSpPr txBox="1">
          <a:spLocks noChangeArrowheads="1"/>
        </xdr:cNvSpPr>
      </xdr:nvSpPr>
      <xdr:spPr bwMode="auto">
        <a:xfrm>
          <a:off x="18288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83</xdr:row>
      <xdr:rowOff>0</xdr:rowOff>
    </xdr:from>
    <xdr:to>
      <xdr:col>26</xdr:col>
      <xdr:colOff>0</xdr:colOff>
      <xdr:row>83</xdr:row>
      <xdr:rowOff>0</xdr:rowOff>
    </xdr:to>
    <xdr:sp macro="" textlink="">
      <xdr:nvSpPr>
        <xdr:cNvPr id="468" name="Text Box 550">
          <a:extLst>
            <a:ext uri="{FF2B5EF4-FFF2-40B4-BE49-F238E27FC236}">
              <a16:creationId xmlns:a16="http://schemas.microsoft.com/office/drawing/2014/main" id="{2C502187-3516-59A2-13ED-E9C92113B34E}"/>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26</xdr:col>
      <xdr:colOff>0</xdr:colOff>
      <xdr:row>87</xdr:row>
      <xdr:rowOff>0</xdr:rowOff>
    </xdr:from>
    <xdr:to>
      <xdr:col>26</xdr:col>
      <xdr:colOff>0</xdr:colOff>
      <xdr:row>87</xdr:row>
      <xdr:rowOff>0</xdr:rowOff>
    </xdr:to>
    <xdr:sp macro="" textlink="">
      <xdr:nvSpPr>
        <xdr:cNvPr id="469" name="Text Box 746">
          <a:extLst>
            <a:ext uri="{FF2B5EF4-FFF2-40B4-BE49-F238E27FC236}">
              <a16:creationId xmlns:a16="http://schemas.microsoft.com/office/drawing/2014/main" id="{06386E1D-2EAA-DAE5-BD1B-BD9010DDCFA9}"/>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26</xdr:col>
      <xdr:colOff>0</xdr:colOff>
      <xdr:row>28</xdr:row>
      <xdr:rowOff>53340</xdr:rowOff>
    </xdr:from>
    <xdr:to>
      <xdr:col>26</xdr:col>
      <xdr:colOff>0</xdr:colOff>
      <xdr:row>29</xdr:row>
      <xdr:rowOff>68580</xdr:rowOff>
    </xdr:to>
    <xdr:sp macro="" textlink="">
      <xdr:nvSpPr>
        <xdr:cNvPr id="2105" name="Text Box 875">
          <a:extLst>
            <a:ext uri="{FF2B5EF4-FFF2-40B4-BE49-F238E27FC236}">
              <a16:creationId xmlns:a16="http://schemas.microsoft.com/office/drawing/2014/main" id="{5DDC1CB1-979E-9A2A-64E6-4544162E127F}"/>
            </a:ext>
          </a:extLst>
        </xdr:cNvPr>
        <xdr:cNvSpPr txBox="1">
          <a:spLocks noChangeArrowheads="1"/>
        </xdr:cNvSpPr>
      </xdr:nvSpPr>
      <xdr:spPr bwMode="auto">
        <a:xfrm>
          <a:off x="18288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68580</xdr:rowOff>
    </xdr:to>
    <xdr:sp macro="" textlink="">
      <xdr:nvSpPr>
        <xdr:cNvPr id="2106" name="Text Box 876">
          <a:extLst>
            <a:ext uri="{FF2B5EF4-FFF2-40B4-BE49-F238E27FC236}">
              <a16:creationId xmlns:a16="http://schemas.microsoft.com/office/drawing/2014/main" id="{95F02232-D90D-6F65-30A3-EB3131B99F99}"/>
            </a:ext>
          </a:extLst>
        </xdr:cNvPr>
        <xdr:cNvSpPr txBox="1">
          <a:spLocks noChangeArrowheads="1"/>
        </xdr:cNvSpPr>
      </xdr:nvSpPr>
      <xdr:spPr bwMode="auto">
        <a:xfrm>
          <a:off x="18288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68580</xdr:rowOff>
    </xdr:to>
    <xdr:sp macro="" textlink="">
      <xdr:nvSpPr>
        <xdr:cNvPr id="2107" name="Text Box 877">
          <a:extLst>
            <a:ext uri="{FF2B5EF4-FFF2-40B4-BE49-F238E27FC236}">
              <a16:creationId xmlns:a16="http://schemas.microsoft.com/office/drawing/2014/main" id="{2CDBB391-C60B-A426-190E-6481BFE8F098}"/>
            </a:ext>
          </a:extLst>
        </xdr:cNvPr>
        <xdr:cNvSpPr txBox="1">
          <a:spLocks noChangeArrowheads="1"/>
        </xdr:cNvSpPr>
      </xdr:nvSpPr>
      <xdr:spPr bwMode="auto">
        <a:xfrm>
          <a:off x="18288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68580</xdr:rowOff>
    </xdr:to>
    <xdr:sp macro="" textlink="">
      <xdr:nvSpPr>
        <xdr:cNvPr id="2108" name="Text Box 878">
          <a:extLst>
            <a:ext uri="{FF2B5EF4-FFF2-40B4-BE49-F238E27FC236}">
              <a16:creationId xmlns:a16="http://schemas.microsoft.com/office/drawing/2014/main" id="{79B5C303-29F3-1F86-F818-669B22291BD3}"/>
            </a:ext>
          </a:extLst>
        </xdr:cNvPr>
        <xdr:cNvSpPr txBox="1">
          <a:spLocks noChangeArrowheads="1"/>
        </xdr:cNvSpPr>
      </xdr:nvSpPr>
      <xdr:spPr bwMode="auto">
        <a:xfrm>
          <a:off x="18288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82</xdr:row>
      <xdr:rowOff>0</xdr:rowOff>
    </xdr:from>
    <xdr:to>
      <xdr:col>26</xdr:col>
      <xdr:colOff>0</xdr:colOff>
      <xdr:row>82</xdr:row>
      <xdr:rowOff>0</xdr:rowOff>
    </xdr:to>
    <xdr:sp macro="" textlink="">
      <xdr:nvSpPr>
        <xdr:cNvPr id="474" name="Text Box 879">
          <a:extLst>
            <a:ext uri="{FF2B5EF4-FFF2-40B4-BE49-F238E27FC236}">
              <a16:creationId xmlns:a16="http://schemas.microsoft.com/office/drawing/2014/main" id="{0C9C38A5-DE71-2BD0-F1C9-74CBBCEFF651}"/>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26</xdr:col>
      <xdr:colOff>0</xdr:colOff>
      <xdr:row>28</xdr:row>
      <xdr:rowOff>53340</xdr:rowOff>
    </xdr:from>
    <xdr:to>
      <xdr:col>26</xdr:col>
      <xdr:colOff>0</xdr:colOff>
      <xdr:row>29</xdr:row>
      <xdr:rowOff>68580</xdr:rowOff>
    </xdr:to>
    <xdr:sp macro="" textlink="">
      <xdr:nvSpPr>
        <xdr:cNvPr id="2110" name="Text Box 880">
          <a:extLst>
            <a:ext uri="{FF2B5EF4-FFF2-40B4-BE49-F238E27FC236}">
              <a16:creationId xmlns:a16="http://schemas.microsoft.com/office/drawing/2014/main" id="{0D167F19-AD31-A25E-195B-DECA9793D0A9}"/>
            </a:ext>
          </a:extLst>
        </xdr:cNvPr>
        <xdr:cNvSpPr txBox="1">
          <a:spLocks noChangeArrowheads="1"/>
        </xdr:cNvSpPr>
      </xdr:nvSpPr>
      <xdr:spPr bwMode="auto">
        <a:xfrm>
          <a:off x="18288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68580</xdr:rowOff>
    </xdr:to>
    <xdr:sp macro="" textlink="">
      <xdr:nvSpPr>
        <xdr:cNvPr id="2111" name="Text Box 881">
          <a:extLst>
            <a:ext uri="{FF2B5EF4-FFF2-40B4-BE49-F238E27FC236}">
              <a16:creationId xmlns:a16="http://schemas.microsoft.com/office/drawing/2014/main" id="{5B37A179-8254-673F-5B36-D008ADC550F9}"/>
            </a:ext>
          </a:extLst>
        </xdr:cNvPr>
        <xdr:cNvSpPr txBox="1">
          <a:spLocks noChangeArrowheads="1"/>
        </xdr:cNvSpPr>
      </xdr:nvSpPr>
      <xdr:spPr bwMode="auto">
        <a:xfrm>
          <a:off x="182880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83</xdr:row>
      <xdr:rowOff>0</xdr:rowOff>
    </xdr:from>
    <xdr:to>
      <xdr:col>26</xdr:col>
      <xdr:colOff>0</xdr:colOff>
      <xdr:row>83</xdr:row>
      <xdr:rowOff>0</xdr:rowOff>
    </xdr:to>
    <xdr:sp macro="" textlink="">
      <xdr:nvSpPr>
        <xdr:cNvPr id="477" name="Text Box 882">
          <a:extLst>
            <a:ext uri="{FF2B5EF4-FFF2-40B4-BE49-F238E27FC236}">
              <a16:creationId xmlns:a16="http://schemas.microsoft.com/office/drawing/2014/main" id="{57FF57E1-A897-4978-2A2E-269BDF964190}"/>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34</xdr:col>
      <xdr:colOff>0</xdr:colOff>
      <xdr:row>28</xdr:row>
      <xdr:rowOff>53340</xdr:rowOff>
    </xdr:from>
    <xdr:to>
      <xdr:col>34</xdr:col>
      <xdr:colOff>0</xdr:colOff>
      <xdr:row>29</xdr:row>
      <xdr:rowOff>68580</xdr:rowOff>
    </xdr:to>
    <xdr:sp macro="" textlink="">
      <xdr:nvSpPr>
        <xdr:cNvPr id="2113" name="Text Box 449">
          <a:extLst>
            <a:ext uri="{FF2B5EF4-FFF2-40B4-BE49-F238E27FC236}">
              <a16:creationId xmlns:a16="http://schemas.microsoft.com/office/drawing/2014/main" id="{A5269525-E99C-F4F2-CA5E-411312B57DEA}"/>
            </a:ext>
          </a:extLst>
        </xdr:cNvPr>
        <xdr:cNvSpPr txBox="1">
          <a:spLocks noChangeArrowheads="1"/>
        </xdr:cNvSpPr>
      </xdr:nvSpPr>
      <xdr:spPr bwMode="auto">
        <a:xfrm>
          <a:off x="234848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68580</xdr:rowOff>
    </xdr:to>
    <xdr:sp macro="" textlink="">
      <xdr:nvSpPr>
        <xdr:cNvPr id="2114" name="Text Box 452">
          <a:extLst>
            <a:ext uri="{FF2B5EF4-FFF2-40B4-BE49-F238E27FC236}">
              <a16:creationId xmlns:a16="http://schemas.microsoft.com/office/drawing/2014/main" id="{8E2C0AF7-EFC6-B48A-0A92-69A155BA594C}"/>
            </a:ext>
          </a:extLst>
        </xdr:cNvPr>
        <xdr:cNvSpPr txBox="1">
          <a:spLocks noChangeArrowheads="1"/>
        </xdr:cNvSpPr>
      </xdr:nvSpPr>
      <xdr:spPr bwMode="auto">
        <a:xfrm>
          <a:off x="234848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68580</xdr:rowOff>
    </xdr:to>
    <xdr:sp macro="" textlink="">
      <xdr:nvSpPr>
        <xdr:cNvPr id="2115" name="Text Box 545">
          <a:extLst>
            <a:ext uri="{FF2B5EF4-FFF2-40B4-BE49-F238E27FC236}">
              <a16:creationId xmlns:a16="http://schemas.microsoft.com/office/drawing/2014/main" id="{98E5BE36-7406-DBF8-1924-FC9BC27797BF}"/>
            </a:ext>
          </a:extLst>
        </xdr:cNvPr>
        <xdr:cNvSpPr txBox="1">
          <a:spLocks noChangeArrowheads="1"/>
        </xdr:cNvSpPr>
      </xdr:nvSpPr>
      <xdr:spPr bwMode="auto">
        <a:xfrm>
          <a:off x="234848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68580</xdr:rowOff>
    </xdr:to>
    <xdr:sp macro="" textlink="">
      <xdr:nvSpPr>
        <xdr:cNvPr id="2116" name="Text Box 546">
          <a:extLst>
            <a:ext uri="{FF2B5EF4-FFF2-40B4-BE49-F238E27FC236}">
              <a16:creationId xmlns:a16="http://schemas.microsoft.com/office/drawing/2014/main" id="{13CB1A74-AC2E-1602-98CC-C3010F88EC36}"/>
            </a:ext>
          </a:extLst>
        </xdr:cNvPr>
        <xdr:cNvSpPr txBox="1">
          <a:spLocks noChangeArrowheads="1"/>
        </xdr:cNvSpPr>
      </xdr:nvSpPr>
      <xdr:spPr bwMode="auto">
        <a:xfrm>
          <a:off x="234848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82</xdr:row>
      <xdr:rowOff>0</xdr:rowOff>
    </xdr:from>
    <xdr:to>
      <xdr:col>34</xdr:col>
      <xdr:colOff>0</xdr:colOff>
      <xdr:row>82</xdr:row>
      <xdr:rowOff>0</xdr:rowOff>
    </xdr:to>
    <xdr:sp macro="" textlink="">
      <xdr:nvSpPr>
        <xdr:cNvPr id="482" name="Text Box 547">
          <a:extLst>
            <a:ext uri="{FF2B5EF4-FFF2-40B4-BE49-F238E27FC236}">
              <a16:creationId xmlns:a16="http://schemas.microsoft.com/office/drawing/2014/main" id="{847A90F8-5ABF-E618-2E91-DAD77F3591E3}"/>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34</xdr:col>
      <xdr:colOff>0</xdr:colOff>
      <xdr:row>28</xdr:row>
      <xdr:rowOff>53340</xdr:rowOff>
    </xdr:from>
    <xdr:to>
      <xdr:col>34</xdr:col>
      <xdr:colOff>0</xdr:colOff>
      <xdr:row>29</xdr:row>
      <xdr:rowOff>68580</xdr:rowOff>
    </xdr:to>
    <xdr:sp macro="" textlink="">
      <xdr:nvSpPr>
        <xdr:cNvPr id="2118" name="Text Box 548">
          <a:extLst>
            <a:ext uri="{FF2B5EF4-FFF2-40B4-BE49-F238E27FC236}">
              <a16:creationId xmlns:a16="http://schemas.microsoft.com/office/drawing/2014/main" id="{CCF85337-E556-3629-F284-E05E6D840ECA}"/>
            </a:ext>
          </a:extLst>
        </xdr:cNvPr>
        <xdr:cNvSpPr txBox="1">
          <a:spLocks noChangeArrowheads="1"/>
        </xdr:cNvSpPr>
      </xdr:nvSpPr>
      <xdr:spPr bwMode="auto">
        <a:xfrm>
          <a:off x="234848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68580</xdr:rowOff>
    </xdr:to>
    <xdr:sp macro="" textlink="">
      <xdr:nvSpPr>
        <xdr:cNvPr id="2119" name="Text Box 549">
          <a:extLst>
            <a:ext uri="{FF2B5EF4-FFF2-40B4-BE49-F238E27FC236}">
              <a16:creationId xmlns:a16="http://schemas.microsoft.com/office/drawing/2014/main" id="{8E244D2A-18C1-F66E-B4C8-A9A072D0B20D}"/>
            </a:ext>
          </a:extLst>
        </xdr:cNvPr>
        <xdr:cNvSpPr txBox="1">
          <a:spLocks noChangeArrowheads="1"/>
        </xdr:cNvSpPr>
      </xdr:nvSpPr>
      <xdr:spPr bwMode="auto">
        <a:xfrm>
          <a:off x="234848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83</xdr:row>
      <xdr:rowOff>0</xdr:rowOff>
    </xdr:from>
    <xdr:to>
      <xdr:col>34</xdr:col>
      <xdr:colOff>0</xdr:colOff>
      <xdr:row>83</xdr:row>
      <xdr:rowOff>0</xdr:rowOff>
    </xdr:to>
    <xdr:sp macro="" textlink="">
      <xdr:nvSpPr>
        <xdr:cNvPr id="485" name="Text Box 550">
          <a:extLst>
            <a:ext uri="{FF2B5EF4-FFF2-40B4-BE49-F238E27FC236}">
              <a16:creationId xmlns:a16="http://schemas.microsoft.com/office/drawing/2014/main" id="{AE517B6E-410B-C3D8-EF68-0198DB0213F0}"/>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34</xdr:col>
      <xdr:colOff>0</xdr:colOff>
      <xdr:row>87</xdr:row>
      <xdr:rowOff>0</xdr:rowOff>
    </xdr:from>
    <xdr:to>
      <xdr:col>34</xdr:col>
      <xdr:colOff>0</xdr:colOff>
      <xdr:row>87</xdr:row>
      <xdr:rowOff>0</xdr:rowOff>
    </xdr:to>
    <xdr:sp macro="" textlink="">
      <xdr:nvSpPr>
        <xdr:cNvPr id="486" name="Text Box 746">
          <a:extLst>
            <a:ext uri="{FF2B5EF4-FFF2-40B4-BE49-F238E27FC236}">
              <a16:creationId xmlns:a16="http://schemas.microsoft.com/office/drawing/2014/main" id="{6C102396-16C4-8C4B-C7B7-1D5A8FB3A409}"/>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34</xdr:col>
      <xdr:colOff>0</xdr:colOff>
      <xdr:row>28</xdr:row>
      <xdr:rowOff>53340</xdr:rowOff>
    </xdr:from>
    <xdr:to>
      <xdr:col>34</xdr:col>
      <xdr:colOff>0</xdr:colOff>
      <xdr:row>29</xdr:row>
      <xdr:rowOff>68580</xdr:rowOff>
    </xdr:to>
    <xdr:sp macro="" textlink="">
      <xdr:nvSpPr>
        <xdr:cNvPr id="2122" name="Text Box 875">
          <a:extLst>
            <a:ext uri="{FF2B5EF4-FFF2-40B4-BE49-F238E27FC236}">
              <a16:creationId xmlns:a16="http://schemas.microsoft.com/office/drawing/2014/main" id="{619CB443-25D0-8E24-6397-DB04064D470C}"/>
            </a:ext>
          </a:extLst>
        </xdr:cNvPr>
        <xdr:cNvSpPr txBox="1">
          <a:spLocks noChangeArrowheads="1"/>
        </xdr:cNvSpPr>
      </xdr:nvSpPr>
      <xdr:spPr bwMode="auto">
        <a:xfrm>
          <a:off x="234848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68580</xdr:rowOff>
    </xdr:to>
    <xdr:sp macro="" textlink="">
      <xdr:nvSpPr>
        <xdr:cNvPr id="2123" name="Text Box 876">
          <a:extLst>
            <a:ext uri="{FF2B5EF4-FFF2-40B4-BE49-F238E27FC236}">
              <a16:creationId xmlns:a16="http://schemas.microsoft.com/office/drawing/2014/main" id="{EB1DFF07-14D3-B1F4-D005-F67B059CB8E2}"/>
            </a:ext>
          </a:extLst>
        </xdr:cNvPr>
        <xdr:cNvSpPr txBox="1">
          <a:spLocks noChangeArrowheads="1"/>
        </xdr:cNvSpPr>
      </xdr:nvSpPr>
      <xdr:spPr bwMode="auto">
        <a:xfrm>
          <a:off x="234848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68580</xdr:rowOff>
    </xdr:to>
    <xdr:sp macro="" textlink="">
      <xdr:nvSpPr>
        <xdr:cNvPr id="2124" name="Text Box 877">
          <a:extLst>
            <a:ext uri="{FF2B5EF4-FFF2-40B4-BE49-F238E27FC236}">
              <a16:creationId xmlns:a16="http://schemas.microsoft.com/office/drawing/2014/main" id="{1DB67A9A-6123-38BA-FFDA-5A6CCD4A3FD1}"/>
            </a:ext>
          </a:extLst>
        </xdr:cNvPr>
        <xdr:cNvSpPr txBox="1">
          <a:spLocks noChangeArrowheads="1"/>
        </xdr:cNvSpPr>
      </xdr:nvSpPr>
      <xdr:spPr bwMode="auto">
        <a:xfrm>
          <a:off x="234848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68580</xdr:rowOff>
    </xdr:to>
    <xdr:sp macro="" textlink="">
      <xdr:nvSpPr>
        <xdr:cNvPr id="2125" name="Text Box 878">
          <a:extLst>
            <a:ext uri="{FF2B5EF4-FFF2-40B4-BE49-F238E27FC236}">
              <a16:creationId xmlns:a16="http://schemas.microsoft.com/office/drawing/2014/main" id="{2356CD54-BFDA-388C-94F2-69238CE20C7C}"/>
            </a:ext>
          </a:extLst>
        </xdr:cNvPr>
        <xdr:cNvSpPr txBox="1">
          <a:spLocks noChangeArrowheads="1"/>
        </xdr:cNvSpPr>
      </xdr:nvSpPr>
      <xdr:spPr bwMode="auto">
        <a:xfrm>
          <a:off x="234848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82</xdr:row>
      <xdr:rowOff>0</xdr:rowOff>
    </xdr:from>
    <xdr:to>
      <xdr:col>34</xdr:col>
      <xdr:colOff>0</xdr:colOff>
      <xdr:row>82</xdr:row>
      <xdr:rowOff>0</xdr:rowOff>
    </xdr:to>
    <xdr:sp macro="" textlink="">
      <xdr:nvSpPr>
        <xdr:cNvPr id="491" name="Text Box 879">
          <a:extLst>
            <a:ext uri="{FF2B5EF4-FFF2-40B4-BE49-F238E27FC236}">
              <a16:creationId xmlns:a16="http://schemas.microsoft.com/office/drawing/2014/main" id="{5431BEEE-82D2-702F-22E9-323DBFFC408C}"/>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34</xdr:col>
      <xdr:colOff>0</xdr:colOff>
      <xdr:row>28</xdr:row>
      <xdr:rowOff>53340</xdr:rowOff>
    </xdr:from>
    <xdr:to>
      <xdr:col>34</xdr:col>
      <xdr:colOff>0</xdr:colOff>
      <xdr:row>29</xdr:row>
      <xdr:rowOff>68580</xdr:rowOff>
    </xdr:to>
    <xdr:sp macro="" textlink="">
      <xdr:nvSpPr>
        <xdr:cNvPr id="2127" name="Text Box 880">
          <a:extLst>
            <a:ext uri="{FF2B5EF4-FFF2-40B4-BE49-F238E27FC236}">
              <a16:creationId xmlns:a16="http://schemas.microsoft.com/office/drawing/2014/main" id="{2DF1ABEB-23E8-2414-3858-F34C1608C636}"/>
            </a:ext>
          </a:extLst>
        </xdr:cNvPr>
        <xdr:cNvSpPr txBox="1">
          <a:spLocks noChangeArrowheads="1"/>
        </xdr:cNvSpPr>
      </xdr:nvSpPr>
      <xdr:spPr bwMode="auto">
        <a:xfrm>
          <a:off x="234848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68580</xdr:rowOff>
    </xdr:to>
    <xdr:sp macro="" textlink="">
      <xdr:nvSpPr>
        <xdr:cNvPr id="2128" name="Text Box 881">
          <a:extLst>
            <a:ext uri="{FF2B5EF4-FFF2-40B4-BE49-F238E27FC236}">
              <a16:creationId xmlns:a16="http://schemas.microsoft.com/office/drawing/2014/main" id="{7E66E70A-16BF-B1BB-769C-1FDAD8CDB973}"/>
            </a:ext>
          </a:extLst>
        </xdr:cNvPr>
        <xdr:cNvSpPr txBox="1">
          <a:spLocks noChangeArrowheads="1"/>
        </xdr:cNvSpPr>
      </xdr:nvSpPr>
      <xdr:spPr bwMode="auto">
        <a:xfrm>
          <a:off x="234848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83</xdr:row>
      <xdr:rowOff>0</xdr:rowOff>
    </xdr:from>
    <xdr:to>
      <xdr:col>34</xdr:col>
      <xdr:colOff>0</xdr:colOff>
      <xdr:row>83</xdr:row>
      <xdr:rowOff>0</xdr:rowOff>
    </xdr:to>
    <xdr:sp macro="" textlink="">
      <xdr:nvSpPr>
        <xdr:cNvPr id="494" name="Text Box 882">
          <a:extLst>
            <a:ext uri="{FF2B5EF4-FFF2-40B4-BE49-F238E27FC236}">
              <a16:creationId xmlns:a16="http://schemas.microsoft.com/office/drawing/2014/main" id="{7FE1D6EB-8D84-996D-E815-F28BAB7E3F17}"/>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43</xdr:col>
      <xdr:colOff>0</xdr:colOff>
      <xdr:row>28</xdr:row>
      <xdr:rowOff>53340</xdr:rowOff>
    </xdr:from>
    <xdr:to>
      <xdr:col>43</xdr:col>
      <xdr:colOff>0</xdr:colOff>
      <xdr:row>29</xdr:row>
      <xdr:rowOff>68580</xdr:rowOff>
    </xdr:to>
    <xdr:sp macro="" textlink="">
      <xdr:nvSpPr>
        <xdr:cNvPr id="2130" name="Text Box 449">
          <a:extLst>
            <a:ext uri="{FF2B5EF4-FFF2-40B4-BE49-F238E27FC236}">
              <a16:creationId xmlns:a16="http://schemas.microsoft.com/office/drawing/2014/main" id="{08B5B6FE-EBAB-F8FD-E6A8-8DD57648C5F6}"/>
            </a:ext>
          </a:extLst>
        </xdr:cNvPr>
        <xdr:cNvSpPr txBox="1">
          <a:spLocks noChangeArrowheads="1"/>
        </xdr:cNvSpPr>
      </xdr:nvSpPr>
      <xdr:spPr bwMode="auto">
        <a:xfrm>
          <a:off x="288340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68580</xdr:rowOff>
    </xdr:to>
    <xdr:sp macro="" textlink="">
      <xdr:nvSpPr>
        <xdr:cNvPr id="2131" name="Text Box 452">
          <a:extLst>
            <a:ext uri="{FF2B5EF4-FFF2-40B4-BE49-F238E27FC236}">
              <a16:creationId xmlns:a16="http://schemas.microsoft.com/office/drawing/2014/main" id="{575C71C8-29A9-4157-A825-B3F292198552}"/>
            </a:ext>
          </a:extLst>
        </xdr:cNvPr>
        <xdr:cNvSpPr txBox="1">
          <a:spLocks noChangeArrowheads="1"/>
        </xdr:cNvSpPr>
      </xdr:nvSpPr>
      <xdr:spPr bwMode="auto">
        <a:xfrm>
          <a:off x="288340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68580</xdr:rowOff>
    </xdr:to>
    <xdr:sp macro="" textlink="">
      <xdr:nvSpPr>
        <xdr:cNvPr id="2132" name="Text Box 545">
          <a:extLst>
            <a:ext uri="{FF2B5EF4-FFF2-40B4-BE49-F238E27FC236}">
              <a16:creationId xmlns:a16="http://schemas.microsoft.com/office/drawing/2014/main" id="{630D41A1-810B-C2BB-CC48-A5DD2F11F6EB}"/>
            </a:ext>
          </a:extLst>
        </xdr:cNvPr>
        <xdr:cNvSpPr txBox="1">
          <a:spLocks noChangeArrowheads="1"/>
        </xdr:cNvSpPr>
      </xdr:nvSpPr>
      <xdr:spPr bwMode="auto">
        <a:xfrm>
          <a:off x="288340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68580</xdr:rowOff>
    </xdr:to>
    <xdr:sp macro="" textlink="">
      <xdr:nvSpPr>
        <xdr:cNvPr id="2133" name="Text Box 546">
          <a:extLst>
            <a:ext uri="{FF2B5EF4-FFF2-40B4-BE49-F238E27FC236}">
              <a16:creationId xmlns:a16="http://schemas.microsoft.com/office/drawing/2014/main" id="{FEE94B3C-7FAC-6612-BD13-BCB888D6974E}"/>
            </a:ext>
          </a:extLst>
        </xdr:cNvPr>
        <xdr:cNvSpPr txBox="1">
          <a:spLocks noChangeArrowheads="1"/>
        </xdr:cNvSpPr>
      </xdr:nvSpPr>
      <xdr:spPr bwMode="auto">
        <a:xfrm>
          <a:off x="288340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82</xdr:row>
      <xdr:rowOff>0</xdr:rowOff>
    </xdr:from>
    <xdr:to>
      <xdr:col>43</xdr:col>
      <xdr:colOff>0</xdr:colOff>
      <xdr:row>82</xdr:row>
      <xdr:rowOff>0</xdr:rowOff>
    </xdr:to>
    <xdr:sp macro="" textlink="">
      <xdr:nvSpPr>
        <xdr:cNvPr id="499" name="Text Box 547">
          <a:extLst>
            <a:ext uri="{FF2B5EF4-FFF2-40B4-BE49-F238E27FC236}">
              <a16:creationId xmlns:a16="http://schemas.microsoft.com/office/drawing/2014/main" id="{6E47D6DB-0027-1201-0A11-36E403954FC6}"/>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43</xdr:col>
      <xdr:colOff>0</xdr:colOff>
      <xdr:row>28</xdr:row>
      <xdr:rowOff>53340</xdr:rowOff>
    </xdr:from>
    <xdr:to>
      <xdr:col>43</xdr:col>
      <xdr:colOff>0</xdr:colOff>
      <xdr:row>29</xdr:row>
      <xdr:rowOff>68580</xdr:rowOff>
    </xdr:to>
    <xdr:sp macro="" textlink="">
      <xdr:nvSpPr>
        <xdr:cNvPr id="2135" name="Text Box 548">
          <a:extLst>
            <a:ext uri="{FF2B5EF4-FFF2-40B4-BE49-F238E27FC236}">
              <a16:creationId xmlns:a16="http://schemas.microsoft.com/office/drawing/2014/main" id="{271EAFC2-01AD-7367-A881-CDE50C321B88}"/>
            </a:ext>
          </a:extLst>
        </xdr:cNvPr>
        <xdr:cNvSpPr txBox="1">
          <a:spLocks noChangeArrowheads="1"/>
        </xdr:cNvSpPr>
      </xdr:nvSpPr>
      <xdr:spPr bwMode="auto">
        <a:xfrm>
          <a:off x="288340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68580</xdr:rowOff>
    </xdr:to>
    <xdr:sp macro="" textlink="">
      <xdr:nvSpPr>
        <xdr:cNvPr id="2136" name="Text Box 549">
          <a:extLst>
            <a:ext uri="{FF2B5EF4-FFF2-40B4-BE49-F238E27FC236}">
              <a16:creationId xmlns:a16="http://schemas.microsoft.com/office/drawing/2014/main" id="{92685DCC-F806-A3C6-3789-D8B58968FF0A}"/>
            </a:ext>
          </a:extLst>
        </xdr:cNvPr>
        <xdr:cNvSpPr txBox="1">
          <a:spLocks noChangeArrowheads="1"/>
        </xdr:cNvSpPr>
      </xdr:nvSpPr>
      <xdr:spPr bwMode="auto">
        <a:xfrm>
          <a:off x="288340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83</xdr:row>
      <xdr:rowOff>0</xdr:rowOff>
    </xdr:from>
    <xdr:to>
      <xdr:col>43</xdr:col>
      <xdr:colOff>0</xdr:colOff>
      <xdr:row>83</xdr:row>
      <xdr:rowOff>0</xdr:rowOff>
    </xdr:to>
    <xdr:sp macro="" textlink="">
      <xdr:nvSpPr>
        <xdr:cNvPr id="502" name="Text Box 550">
          <a:extLst>
            <a:ext uri="{FF2B5EF4-FFF2-40B4-BE49-F238E27FC236}">
              <a16:creationId xmlns:a16="http://schemas.microsoft.com/office/drawing/2014/main" id="{890617D4-674D-D86D-7377-52AFD7D147B2}"/>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43</xdr:col>
      <xdr:colOff>0</xdr:colOff>
      <xdr:row>87</xdr:row>
      <xdr:rowOff>0</xdr:rowOff>
    </xdr:from>
    <xdr:to>
      <xdr:col>43</xdr:col>
      <xdr:colOff>0</xdr:colOff>
      <xdr:row>87</xdr:row>
      <xdr:rowOff>0</xdr:rowOff>
    </xdr:to>
    <xdr:sp macro="" textlink="">
      <xdr:nvSpPr>
        <xdr:cNvPr id="503" name="Text Box 746">
          <a:extLst>
            <a:ext uri="{FF2B5EF4-FFF2-40B4-BE49-F238E27FC236}">
              <a16:creationId xmlns:a16="http://schemas.microsoft.com/office/drawing/2014/main" id="{805FE689-AF0C-E0BE-B4A4-0E255A984F7F}"/>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43</xdr:col>
      <xdr:colOff>0</xdr:colOff>
      <xdr:row>28</xdr:row>
      <xdr:rowOff>53340</xdr:rowOff>
    </xdr:from>
    <xdr:to>
      <xdr:col>43</xdr:col>
      <xdr:colOff>0</xdr:colOff>
      <xdr:row>29</xdr:row>
      <xdr:rowOff>68580</xdr:rowOff>
    </xdr:to>
    <xdr:sp macro="" textlink="">
      <xdr:nvSpPr>
        <xdr:cNvPr id="2139" name="Text Box 875">
          <a:extLst>
            <a:ext uri="{FF2B5EF4-FFF2-40B4-BE49-F238E27FC236}">
              <a16:creationId xmlns:a16="http://schemas.microsoft.com/office/drawing/2014/main" id="{63A9BDDC-4AEE-55D0-2E0F-E58150CBA6C0}"/>
            </a:ext>
          </a:extLst>
        </xdr:cNvPr>
        <xdr:cNvSpPr txBox="1">
          <a:spLocks noChangeArrowheads="1"/>
        </xdr:cNvSpPr>
      </xdr:nvSpPr>
      <xdr:spPr bwMode="auto">
        <a:xfrm>
          <a:off x="288340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68580</xdr:rowOff>
    </xdr:to>
    <xdr:sp macro="" textlink="">
      <xdr:nvSpPr>
        <xdr:cNvPr id="2140" name="Text Box 876">
          <a:extLst>
            <a:ext uri="{FF2B5EF4-FFF2-40B4-BE49-F238E27FC236}">
              <a16:creationId xmlns:a16="http://schemas.microsoft.com/office/drawing/2014/main" id="{6FD45201-4449-886B-F06A-81FC7E9C220B}"/>
            </a:ext>
          </a:extLst>
        </xdr:cNvPr>
        <xdr:cNvSpPr txBox="1">
          <a:spLocks noChangeArrowheads="1"/>
        </xdr:cNvSpPr>
      </xdr:nvSpPr>
      <xdr:spPr bwMode="auto">
        <a:xfrm>
          <a:off x="288340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68580</xdr:rowOff>
    </xdr:to>
    <xdr:sp macro="" textlink="">
      <xdr:nvSpPr>
        <xdr:cNvPr id="2141" name="Text Box 877">
          <a:extLst>
            <a:ext uri="{FF2B5EF4-FFF2-40B4-BE49-F238E27FC236}">
              <a16:creationId xmlns:a16="http://schemas.microsoft.com/office/drawing/2014/main" id="{84545124-6FE1-7523-AF5D-E6443CF7F2EA}"/>
            </a:ext>
          </a:extLst>
        </xdr:cNvPr>
        <xdr:cNvSpPr txBox="1">
          <a:spLocks noChangeArrowheads="1"/>
        </xdr:cNvSpPr>
      </xdr:nvSpPr>
      <xdr:spPr bwMode="auto">
        <a:xfrm>
          <a:off x="288340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68580</xdr:rowOff>
    </xdr:to>
    <xdr:sp macro="" textlink="">
      <xdr:nvSpPr>
        <xdr:cNvPr id="2142" name="Text Box 878">
          <a:extLst>
            <a:ext uri="{FF2B5EF4-FFF2-40B4-BE49-F238E27FC236}">
              <a16:creationId xmlns:a16="http://schemas.microsoft.com/office/drawing/2014/main" id="{6BF0AE90-89FE-4234-A86A-D0894C052990}"/>
            </a:ext>
          </a:extLst>
        </xdr:cNvPr>
        <xdr:cNvSpPr txBox="1">
          <a:spLocks noChangeArrowheads="1"/>
        </xdr:cNvSpPr>
      </xdr:nvSpPr>
      <xdr:spPr bwMode="auto">
        <a:xfrm>
          <a:off x="288340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82</xdr:row>
      <xdr:rowOff>0</xdr:rowOff>
    </xdr:from>
    <xdr:to>
      <xdr:col>43</xdr:col>
      <xdr:colOff>0</xdr:colOff>
      <xdr:row>82</xdr:row>
      <xdr:rowOff>0</xdr:rowOff>
    </xdr:to>
    <xdr:sp macro="" textlink="">
      <xdr:nvSpPr>
        <xdr:cNvPr id="508" name="Text Box 879">
          <a:extLst>
            <a:ext uri="{FF2B5EF4-FFF2-40B4-BE49-F238E27FC236}">
              <a16:creationId xmlns:a16="http://schemas.microsoft.com/office/drawing/2014/main" id="{964AB729-415B-71B4-1137-75D2CD4A44EA}"/>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43</xdr:col>
      <xdr:colOff>0</xdr:colOff>
      <xdr:row>28</xdr:row>
      <xdr:rowOff>53340</xdr:rowOff>
    </xdr:from>
    <xdr:to>
      <xdr:col>43</xdr:col>
      <xdr:colOff>0</xdr:colOff>
      <xdr:row>29</xdr:row>
      <xdr:rowOff>68580</xdr:rowOff>
    </xdr:to>
    <xdr:sp macro="" textlink="">
      <xdr:nvSpPr>
        <xdr:cNvPr id="2144" name="Text Box 880">
          <a:extLst>
            <a:ext uri="{FF2B5EF4-FFF2-40B4-BE49-F238E27FC236}">
              <a16:creationId xmlns:a16="http://schemas.microsoft.com/office/drawing/2014/main" id="{4EAA14D2-806B-D36A-4EDF-DC743235EE4B}"/>
            </a:ext>
          </a:extLst>
        </xdr:cNvPr>
        <xdr:cNvSpPr txBox="1">
          <a:spLocks noChangeArrowheads="1"/>
        </xdr:cNvSpPr>
      </xdr:nvSpPr>
      <xdr:spPr bwMode="auto">
        <a:xfrm>
          <a:off x="288340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68580</xdr:rowOff>
    </xdr:to>
    <xdr:sp macro="" textlink="">
      <xdr:nvSpPr>
        <xdr:cNvPr id="2145" name="Text Box 881">
          <a:extLst>
            <a:ext uri="{FF2B5EF4-FFF2-40B4-BE49-F238E27FC236}">
              <a16:creationId xmlns:a16="http://schemas.microsoft.com/office/drawing/2014/main" id="{8555FF07-5D92-4E3D-6F21-7D8BAD55E5ED}"/>
            </a:ext>
          </a:extLst>
        </xdr:cNvPr>
        <xdr:cNvSpPr txBox="1">
          <a:spLocks noChangeArrowheads="1"/>
        </xdr:cNvSpPr>
      </xdr:nvSpPr>
      <xdr:spPr bwMode="auto">
        <a:xfrm>
          <a:off x="288340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83</xdr:row>
      <xdr:rowOff>0</xdr:rowOff>
    </xdr:from>
    <xdr:to>
      <xdr:col>43</xdr:col>
      <xdr:colOff>0</xdr:colOff>
      <xdr:row>83</xdr:row>
      <xdr:rowOff>0</xdr:rowOff>
    </xdr:to>
    <xdr:sp macro="" textlink="">
      <xdr:nvSpPr>
        <xdr:cNvPr id="511" name="Text Box 882">
          <a:extLst>
            <a:ext uri="{FF2B5EF4-FFF2-40B4-BE49-F238E27FC236}">
              <a16:creationId xmlns:a16="http://schemas.microsoft.com/office/drawing/2014/main" id="{1407580D-043B-C89A-CCEF-D06B85A4976B}"/>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52</xdr:col>
      <xdr:colOff>0</xdr:colOff>
      <xdr:row>28</xdr:row>
      <xdr:rowOff>53340</xdr:rowOff>
    </xdr:from>
    <xdr:to>
      <xdr:col>52</xdr:col>
      <xdr:colOff>0</xdr:colOff>
      <xdr:row>29</xdr:row>
      <xdr:rowOff>68580</xdr:rowOff>
    </xdr:to>
    <xdr:sp macro="" textlink="">
      <xdr:nvSpPr>
        <xdr:cNvPr id="2147" name="Text Box 449">
          <a:extLst>
            <a:ext uri="{FF2B5EF4-FFF2-40B4-BE49-F238E27FC236}">
              <a16:creationId xmlns:a16="http://schemas.microsoft.com/office/drawing/2014/main" id="{270A9DDA-54FE-FE21-5774-C376475B4B6B}"/>
            </a:ext>
          </a:extLst>
        </xdr:cNvPr>
        <xdr:cNvSpPr txBox="1">
          <a:spLocks noChangeArrowheads="1"/>
        </xdr:cNvSpPr>
      </xdr:nvSpPr>
      <xdr:spPr bwMode="auto">
        <a:xfrm>
          <a:off x="339394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68580</xdr:rowOff>
    </xdr:to>
    <xdr:sp macro="" textlink="">
      <xdr:nvSpPr>
        <xdr:cNvPr id="2148" name="Text Box 452">
          <a:extLst>
            <a:ext uri="{FF2B5EF4-FFF2-40B4-BE49-F238E27FC236}">
              <a16:creationId xmlns:a16="http://schemas.microsoft.com/office/drawing/2014/main" id="{E62F0D9B-227F-B158-23D1-6656F20F11B9}"/>
            </a:ext>
          </a:extLst>
        </xdr:cNvPr>
        <xdr:cNvSpPr txBox="1">
          <a:spLocks noChangeArrowheads="1"/>
        </xdr:cNvSpPr>
      </xdr:nvSpPr>
      <xdr:spPr bwMode="auto">
        <a:xfrm>
          <a:off x="339394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68580</xdr:rowOff>
    </xdr:to>
    <xdr:sp macro="" textlink="">
      <xdr:nvSpPr>
        <xdr:cNvPr id="2149" name="Text Box 545">
          <a:extLst>
            <a:ext uri="{FF2B5EF4-FFF2-40B4-BE49-F238E27FC236}">
              <a16:creationId xmlns:a16="http://schemas.microsoft.com/office/drawing/2014/main" id="{024157C1-04F9-410B-3CE5-C8A8544ABB23}"/>
            </a:ext>
          </a:extLst>
        </xdr:cNvPr>
        <xdr:cNvSpPr txBox="1">
          <a:spLocks noChangeArrowheads="1"/>
        </xdr:cNvSpPr>
      </xdr:nvSpPr>
      <xdr:spPr bwMode="auto">
        <a:xfrm>
          <a:off x="339394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68580</xdr:rowOff>
    </xdr:to>
    <xdr:sp macro="" textlink="">
      <xdr:nvSpPr>
        <xdr:cNvPr id="2150" name="Text Box 546">
          <a:extLst>
            <a:ext uri="{FF2B5EF4-FFF2-40B4-BE49-F238E27FC236}">
              <a16:creationId xmlns:a16="http://schemas.microsoft.com/office/drawing/2014/main" id="{A14FBE6D-14CF-7903-07EB-697AFC83AEE6}"/>
            </a:ext>
          </a:extLst>
        </xdr:cNvPr>
        <xdr:cNvSpPr txBox="1">
          <a:spLocks noChangeArrowheads="1"/>
        </xdr:cNvSpPr>
      </xdr:nvSpPr>
      <xdr:spPr bwMode="auto">
        <a:xfrm>
          <a:off x="339394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82</xdr:row>
      <xdr:rowOff>0</xdr:rowOff>
    </xdr:from>
    <xdr:to>
      <xdr:col>52</xdr:col>
      <xdr:colOff>0</xdr:colOff>
      <xdr:row>82</xdr:row>
      <xdr:rowOff>0</xdr:rowOff>
    </xdr:to>
    <xdr:sp macro="" textlink="">
      <xdr:nvSpPr>
        <xdr:cNvPr id="516" name="Text Box 547">
          <a:extLst>
            <a:ext uri="{FF2B5EF4-FFF2-40B4-BE49-F238E27FC236}">
              <a16:creationId xmlns:a16="http://schemas.microsoft.com/office/drawing/2014/main" id="{96022798-81C1-A59E-4EA0-F3FDFBB74FF9}"/>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52</xdr:col>
      <xdr:colOff>0</xdr:colOff>
      <xdr:row>28</xdr:row>
      <xdr:rowOff>53340</xdr:rowOff>
    </xdr:from>
    <xdr:to>
      <xdr:col>52</xdr:col>
      <xdr:colOff>0</xdr:colOff>
      <xdr:row>29</xdr:row>
      <xdr:rowOff>68580</xdr:rowOff>
    </xdr:to>
    <xdr:sp macro="" textlink="">
      <xdr:nvSpPr>
        <xdr:cNvPr id="2152" name="Text Box 548">
          <a:extLst>
            <a:ext uri="{FF2B5EF4-FFF2-40B4-BE49-F238E27FC236}">
              <a16:creationId xmlns:a16="http://schemas.microsoft.com/office/drawing/2014/main" id="{938F4C80-A41F-B6D3-055E-238726FF1D67}"/>
            </a:ext>
          </a:extLst>
        </xdr:cNvPr>
        <xdr:cNvSpPr txBox="1">
          <a:spLocks noChangeArrowheads="1"/>
        </xdr:cNvSpPr>
      </xdr:nvSpPr>
      <xdr:spPr bwMode="auto">
        <a:xfrm>
          <a:off x="339394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68580</xdr:rowOff>
    </xdr:to>
    <xdr:sp macro="" textlink="">
      <xdr:nvSpPr>
        <xdr:cNvPr id="2153" name="Text Box 549">
          <a:extLst>
            <a:ext uri="{FF2B5EF4-FFF2-40B4-BE49-F238E27FC236}">
              <a16:creationId xmlns:a16="http://schemas.microsoft.com/office/drawing/2014/main" id="{D31CEA1E-BA2A-0AA0-E551-CCF2CEBBB8B4}"/>
            </a:ext>
          </a:extLst>
        </xdr:cNvPr>
        <xdr:cNvSpPr txBox="1">
          <a:spLocks noChangeArrowheads="1"/>
        </xdr:cNvSpPr>
      </xdr:nvSpPr>
      <xdr:spPr bwMode="auto">
        <a:xfrm>
          <a:off x="339394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83</xdr:row>
      <xdr:rowOff>0</xdr:rowOff>
    </xdr:from>
    <xdr:to>
      <xdr:col>52</xdr:col>
      <xdr:colOff>0</xdr:colOff>
      <xdr:row>83</xdr:row>
      <xdr:rowOff>0</xdr:rowOff>
    </xdr:to>
    <xdr:sp macro="" textlink="">
      <xdr:nvSpPr>
        <xdr:cNvPr id="519" name="Text Box 550">
          <a:extLst>
            <a:ext uri="{FF2B5EF4-FFF2-40B4-BE49-F238E27FC236}">
              <a16:creationId xmlns:a16="http://schemas.microsoft.com/office/drawing/2014/main" id="{E26ECA12-878A-0CE3-C8D8-6BB56903965C}"/>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52</xdr:col>
      <xdr:colOff>0</xdr:colOff>
      <xdr:row>87</xdr:row>
      <xdr:rowOff>0</xdr:rowOff>
    </xdr:from>
    <xdr:to>
      <xdr:col>52</xdr:col>
      <xdr:colOff>0</xdr:colOff>
      <xdr:row>87</xdr:row>
      <xdr:rowOff>0</xdr:rowOff>
    </xdr:to>
    <xdr:sp macro="" textlink="">
      <xdr:nvSpPr>
        <xdr:cNvPr id="520" name="Text Box 746">
          <a:extLst>
            <a:ext uri="{FF2B5EF4-FFF2-40B4-BE49-F238E27FC236}">
              <a16:creationId xmlns:a16="http://schemas.microsoft.com/office/drawing/2014/main" id="{4A80AD46-70D6-2CAC-32CA-9E42C368B146}"/>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52</xdr:col>
      <xdr:colOff>0</xdr:colOff>
      <xdr:row>28</xdr:row>
      <xdr:rowOff>53340</xdr:rowOff>
    </xdr:from>
    <xdr:to>
      <xdr:col>52</xdr:col>
      <xdr:colOff>0</xdr:colOff>
      <xdr:row>29</xdr:row>
      <xdr:rowOff>68580</xdr:rowOff>
    </xdr:to>
    <xdr:sp macro="" textlink="">
      <xdr:nvSpPr>
        <xdr:cNvPr id="2156" name="Text Box 875">
          <a:extLst>
            <a:ext uri="{FF2B5EF4-FFF2-40B4-BE49-F238E27FC236}">
              <a16:creationId xmlns:a16="http://schemas.microsoft.com/office/drawing/2014/main" id="{9A4F7AE4-54B5-D07B-D7C3-43146092F626}"/>
            </a:ext>
          </a:extLst>
        </xdr:cNvPr>
        <xdr:cNvSpPr txBox="1">
          <a:spLocks noChangeArrowheads="1"/>
        </xdr:cNvSpPr>
      </xdr:nvSpPr>
      <xdr:spPr bwMode="auto">
        <a:xfrm>
          <a:off x="339394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68580</xdr:rowOff>
    </xdr:to>
    <xdr:sp macro="" textlink="">
      <xdr:nvSpPr>
        <xdr:cNvPr id="2157" name="Text Box 876">
          <a:extLst>
            <a:ext uri="{FF2B5EF4-FFF2-40B4-BE49-F238E27FC236}">
              <a16:creationId xmlns:a16="http://schemas.microsoft.com/office/drawing/2014/main" id="{7BEDE07A-F8C6-3EA7-2C6D-4CA8F94369D8}"/>
            </a:ext>
          </a:extLst>
        </xdr:cNvPr>
        <xdr:cNvSpPr txBox="1">
          <a:spLocks noChangeArrowheads="1"/>
        </xdr:cNvSpPr>
      </xdr:nvSpPr>
      <xdr:spPr bwMode="auto">
        <a:xfrm>
          <a:off x="339394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68580</xdr:rowOff>
    </xdr:to>
    <xdr:sp macro="" textlink="">
      <xdr:nvSpPr>
        <xdr:cNvPr id="2158" name="Text Box 877">
          <a:extLst>
            <a:ext uri="{FF2B5EF4-FFF2-40B4-BE49-F238E27FC236}">
              <a16:creationId xmlns:a16="http://schemas.microsoft.com/office/drawing/2014/main" id="{E8981945-BC90-9259-CEFE-46F068CC6295}"/>
            </a:ext>
          </a:extLst>
        </xdr:cNvPr>
        <xdr:cNvSpPr txBox="1">
          <a:spLocks noChangeArrowheads="1"/>
        </xdr:cNvSpPr>
      </xdr:nvSpPr>
      <xdr:spPr bwMode="auto">
        <a:xfrm>
          <a:off x="339394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68580</xdr:rowOff>
    </xdr:to>
    <xdr:sp macro="" textlink="">
      <xdr:nvSpPr>
        <xdr:cNvPr id="2159" name="Text Box 878">
          <a:extLst>
            <a:ext uri="{FF2B5EF4-FFF2-40B4-BE49-F238E27FC236}">
              <a16:creationId xmlns:a16="http://schemas.microsoft.com/office/drawing/2014/main" id="{C0E8D8E2-9EB8-64F3-7EC3-7EBAD6809B75}"/>
            </a:ext>
          </a:extLst>
        </xdr:cNvPr>
        <xdr:cNvSpPr txBox="1">
          <a:spLocks noChangeArrowheads="1"/>
        </xdr:cNvSpPr>
      </xdr:nvSpPr>
      <xdr:spPr bwMode="auto">
        <a:xfrm>
          <a:off x="339394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82</xdr:row>
      <xdr:rowOff>0</xdr:rowOff>
    </xdr:from>
    <xdr:to>
      <xdr:col>52</xdr:col>
      <xdr:colOff>0</xdr:colOff>
      <xdr:row>82</xdr:row>
      <xdr:rowOff>0</xdr:rowOff>
    </xdr:to>
    <xdr:sp macro="" textlink="">
      <xdr:nvSpPr>
        <xdr:cNvPr id="525" name="Text Box 879">
          <a:extLst>
            <a:ext uri="{FF2B5EF4-FFF2-40B4-BE49-F238E27FC236}">
              <a16:creationId xmlns:a16="http://schemas.microsoft.com/office/drawing/2014/main" id="{8465C807-BBDD-C297-778E-5993E36A4872}"/>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52</xdr:col>
      <xdr:colOff>0</xdr:colOff>
      <xdr:row>28</xdr:row>
      <xdr:rowOff>53340</xdr:rowOff>
    </xdr:from>
    <xdr:to>
      <xdr:col>52</xdr:col>
      <xdr:colOff>0</xdr:colOff>
      <xdr:row>29</xdr:row>
      <xdr:rowOff>68580</xdr:rowOff>
    </xdr:to>
    <xdr:sp macro="" textlink="">
      <xdr:nvSpPr>
        <xdr:cNvPr id="2161" name="Text Box 880">
          <a:extLst>
            <a:ext uri="{FF2B5EF4-FFF2-40B4-BE49-F238E27FC236}">
              <a16:creationId xmlns:a16="http://schemas.microsoft.com/office/drawing/2014/main" id="{AC880E77-D508-AFE4-63F7-E737A5D91300}"/>
            </a:ext>
          </a:extLst>
        </xdr:cNvPr>
        <xdr:cNvSpPr txBox="1">
          <a:spLocks noChangeArrowheads="1"/>
        </xdr:cNvSpPr>
      </xdr:nvSpPr>
      <xdr:spPr bwMode="auto">
        <a:xfrm>
          <a:off x="339394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68580</xdr:rowOff>
    </xdr:to>
    <xdr:sp macro="" textlink="">
      <xdr:nvSpPr>
        <xdr:cNvPr id="2162" name="Text Box 881">
          <a:extLst>
            <a:ext uri="{FF2B5EF4-FFF2-40B4-BE49-F238E27FC236}">
              <a16:creationId xmlns:a16="http://schemas.microsoft.com/office/drawing/2014/main" id="{60860731-A909-EC63-F821-1CA17980D0FC}"/>
            </a:ext>
          </a:extLst>
        </xdr:cNvPr>
        <xdr:cNvSpPr txBox="1">
          <a:spLocks noChangeArrowheads="1"/>
        </xdr:cNvSpPr>
      </xdr:nvSpPr>
      <xdr:spPr bwMode="auto">
        <a:xfrm>
          <a:off x="339394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83</xdr:row>
      <xdr:rowOff>0</xdr:rowOff>
    </xdr:from>
    <xdr:to>
      <xdr:col>52</xdr:col>
      <xdr:colOff>0</xdr:colOff>
      <xdr:row>83</xdr:row>
      <xdr:rowOff>0</xdr:rowOff>
    </xdr:to>
    <xdr:sp macro="" textlink="">
      <xdr:nvSpPr>
        <xdr:cNvPr id="530" name="Text Box 882">
          <a:extLst>
            <a:ext uri="{FF2B5EF4-FFF2-40B4-BE49-F238E27FC236}">
              <a16:creationId xmlns:a16="http://schemas.microsoft.com/office/drawing/2014/main" id="{615818B0-5A06-C333-8DC9-87164288C21C}"/>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59</xdr:col>
      <xdr:colOff>0</xdr:colOff>
      <xdr:row>28</xdr:row>
      <xdr:rowOff>53340</xdr:rowOff>
    </xdr:from>
    <xdr:to>
      <xdr:col>59</xdr:col>
      <xdr:colOff>0</xdr:colOff>
      <xdr:row>29</xdr:row>
      <xdr:rowOff>68580</xdr:rowOff>
    </xdr:to>
    <xdr:sp macro="" textlink="">
      <xdr:nvSpPr>
        <xdr:cNvPr id="2164" name="Text Box 449">
          <a:extLst>
            <a:ext uri="{FF2B5EF4-FFF2-40B4-BE49-F238E27FC236}">
              <a16:creationId xmlns:a16="http://schemas.microsoft.com/office/drawing/2014/main" id="{D8BD4785-B95C-F70E-528C-1ACDE2DC6D9F}"/>
            </a:ext>
          </a:extLst>
        </xdr:cNvPr>
        <xdr:cNvSpPr txBox="1">
          <a:spLocks noChangeArrowheads="1"/>
        </xdr:cNvSpPr>
      </xdr:nvSpPr>
      <xdr:spPr bwMode="auto">
        <a:xfrm>
          <a:off x="38282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68580</xdr:rowOff>
    </xdr:to>
    <xdr:sp macro="" textlink="">
      <xdr:nvSpPr>
        <xdr:cNvPr id="2165" name="Text Box 452">
          <a:extLst>
            <a:ext uri="{FF2B5EF4-FFF2-40B4-BE49-F238E27FC236}">
              <a16:creationId xmlns:a16="http://schemas.microsoft.com/office/drawing/2014/main" id="{A8CEE8FF-85CB-7DDF-53A0-F57A36EED1AE}"/>
            </a:ext>
          </a:extLst>
        </xdr:cNvPr>
        <xdr:cNvSpPr txBox="1">
          <a:spLocks noChangeArrowheads="1"/>
        </xdr:cNvSpPr>
      </xdr:nvSpPr>
      <xdr:spPr bwMode="auto">
        <a:xfrm>
          <a:off x="38282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68580</xdr:rowOff>
    </xdr:to>
    <xdr:sp macro="" textlink="">
      <xdr:nvSpPr>
        <xdr:cNvPr id="2166" name="Text Box 545">
          <a:extLst>
            <a:ext uri="{FF2B5EF4-FFF2-40B4-BE49-F238E27FC236}">
              <a16:creationId xmlns:a16="http://schemas.microsoft.com/office/drawing/2014/main" id="{4736B930-369A-DBEA-14E9-BB5D1E16BEA3}"/>
            </a:ext>
          </a:extLst>
        </xdr:cNvPr>
        <xdr:cNvSpPr txBox="1">
          <a:spLocks noChangeArrowheads="1"/>
        </xdr:cNvSpPr>
      </xdr:nvSpPr>
      <xdr:spPr bwMode="auto">
        <a:xfrm>
          <a:off x="38282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68580</xdr:rowOff>
    </xdr:to>
    <xdr:sp macro="" textlink="">
      <xdr:nvSpPr>
        <xdr:cNvPr id="2167" name="Text Box 546">
          <a:extLst>
            <a:ext uri="{FF2B5EF4-FFF2-40B4-BE49-F238E27FC236}">
              <a16:creationId xmlns:a16="http://schemas.microsoft.com/office/drawing/2014/main" id="{B8E4C72D-FBB1-91D9-9288-973D88A1A4DB}"/>
            </a:ext>
          </a:extLst>
        </xdr:cNvPr>
        <xdr:cNvSpPr txBox="1">
          <a:spLocks noChangeArrowheads="1"/>
        </xdr:cNvSpPr>
      </xdr:nvSpPr>
      <xdr:spPr bwMode="auto">
        <a:xfrm>
          <a:off x="38282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82</xdr:row>
      <xdr:rowOff>0</xdr:rowOff>
    </xdr:from>
    <xdr:to>
      <xdr:col>59</xdr:col>
      <xdr:colOff>0</xdr:colOff>
      <xdr:row>82</xdr:row>
      <xdr:rowOff>0</xdr:rowOff>
    </xdr:to>
    <xdr:sp macro="" textlink="">
      <xdr:nvSpPr>
        <xdr:cNvPr id="535" name="Text Box 547">
          <a:extLst>
            <a:ext uri="{FF2B5EF4-FFF2-40B4-BE49-F238E27FC236}">
              <a16:creationId xmlns:a16="http://schemas.microsoft.com/office/drawing/2014/main" id="{4494C1AF-F45D-6C01-FAF1-68AEB9437359}"/>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59</xdr:col>
      <xdr:colOff>0</xdr:colOff>
      <xdr:row>28</xdr:row>
      <xdr:rowOff>53340</xdr:rowOff>
    </xdr:from>
    <xdr:to>
      <xdr:col>59</xdr:col>
      <xdr:colOff>0</xdr:colOff>
      <xdr:row>29</xdr:row>
      <xdr:rowOff>68580</xdr:rowOff>
    </xdr:to>
    <xdr:sp macro="" textlink="">
      <xdr:nvSpPr>
        <xdr:cNvPr id="2169" name="Text Box 548">
          <a:extLst>
            <a:ext uri="{FF2B5EF4-FFF2-40B4-BE49-F238E27FC236}">
              <a16:creationId xmlns:a16="http://schemas.microsoft.com/office/drawing/2014/main" id="{903C1F25-CA11-CBF3-2D40-DAA4562F5ACF}"/>
            </a:ext>
          </a:extLst>
        </xdr:cNvPr>
        <xdr:cNvSpPr txBox="1">
          <a:spLocks noChangeArrowheads="1"/>
        </xdr:cNvSpPr>
      </xdr:nvSpPr>
      <xdr:spPr bwMode="auto">
        <a:xfrm>
          <a:off x="38282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68580</xdr:rowOff>
    </xdr:to>
    <xdr:sp macro="" textlink="">
      <xdr:nvSpPr>
        <xdr:cNvPr id="2170" name="Text Box 549">
          <a:extLst>
            <a:ext uri="{FF2B5EF4-FFF2-40B4-BE49-F238E27FC236}">
              <a16:creationId xmlns:a16="http://schemas.microsoft.com/office/drawing/2014/main" id="{D21882C6-298A-8165-5966-AE21CA220981}"/>
            </a:ext>
          </a:extLst>
        </xdr:cNvPr>
        <xdr:cNvSpPr txBox="1">
          <a:spLocks noChangeArrowheads="1"/>
        </xdr:cNvSpPr>
      </xdr:nvSpPr>
      <xdr:spPr bwMode="auto">
        <a:xfrm>
          <a:off x="38282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83</xdr:row>
      <xdr:rowOff>0</xdr:rowOff>
    </xdr:from>
    <xdr:to>
      <xdr:col>59</xdr:col>
      <xdr:colOff>0</xdr:colOff>
      <xdr:row>83</xdr:row>
      <xdr:rowOff>0</xdr:rowOff>
    </xdr:to>
    <xdr:sp macro="" textlink="">
      <xdr:nvSpPr>
        <xdr:cNvPr id="538" name="Text Box 550">
          <a:extLst>
            <a:ext uri="{FF2B5EF4-FFF2-40B4-BE49-F238E27FC236}">
              <a16:creationId xmlns:a16="http://schemas.microsoft.com/office/drawing/2014/main" id="{72F80AAF-83E0-0D61-8044-48B7AEACD2E7}"/>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59</xdr:col>
      <xdr:colOff>0</xdr:colOff>
      <xdr:row>87</xdr:row>
      <xdr:rowOff>0</xdr:rowOff>
    </xdr:from>
    <xdr:to>
      <xdr:col>59</xdr:col>
      <xdr:colOff>0</xdr:colOff>
      <xdr:row>87</xdr:row>
      <xdr:rowOff>0</xdr:rowOff>
    </xdr:to>
    <xdr:sp macro="" textlink="">
      <xdr:nvSpPr>
        <xdr:cNvPr id="539" name="Text Box 746">
          <a:extLst>
            <a:ext uri="{FF2B5EF4-FFF2-40B4-BE49-F238E27FC236}">
              <a16:creationId xmlns:a16="http://schemas.microsoft.com/office/drawing/2014/main" id="{28EA2DB1-2B19-A113-8358-9ACE91460EBB}"/>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59</xdr:col>
      <xdr:colOff>0</xdr:colOff>
      <xdr:row>28</xdr:row>
      <xdr:rowOff>53340</xdr:rowOff>
    </xdr:from>
    <xdr:to>
      <xdr:col>59</xdr:col>
      <xdr:colOff>0</xdr:colOff>
      <xdr:row>29</xdr:row>
      <xdr:rowOff>68580</xdr:rowOff>
    </xdr:to>
    <xdr:sp macro="" textlink="">
      <xdr:nvSpPr>
        <xdr:cNvPr id="2173" name="Text Box 875">
          <a:extLst>
            <a:ext uri="{FF2B5EF4-FFF2-40B4-BE49-F238E27FC236}">
              <a16:creationId xmlns:a16="http://schemas.microsoft.com/office/drawing/2014/main" id="{48B7AE6E-8E06-99F2-02B0-B2B69F0EE62B}"/>
            </a:ext>
          </a:extLst>
        </xdr:cNvPr>
        <xdr:cNvSpPr txBox="1">
          <a:spLocks noChangeArrowheads="1"/>
        </xdr:cNvSpPr>
      </xdr:nvSpPr>
      <xdr:spPr bwMode="auto">
        <a:xfrm>
          <a:off x="38282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68580</xdr:rowOff>
    </xdr:to>
    <xdr:sp macro="" textlink="">
      <xdr:nvSpPr>
        <xdr:cNvPr id="2174" name="Text Box 876">
          <a:extLst>
            <a:ext uri="{FF2B5EF4-FFF2-40B4-BE49-F238E27FC236}">
              <a16:creationId xmlns:a16="http://schemas.microsoft.com/office/drawing/2014/main" id="{FA571B5E-E0AC-011B-BF8C-4C1CB3B61F5A}"/>
            </a:ext>
          </a:extLst>
        </xdr:cNvPr>
        <xdr:cNvSpPr txBox="1">
          <a:spLocks noChangeArrowheads="1"/>
        </xdr:cNvSpPr>
      </xdr:nvSpPr>
      <xdr:spPr bwMode="auto">
        <a:xfrm>
          <a:off x="38282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68580</xdr:rowOff>
    </xdr:to>
    <xdr:sp macro="" textlink="">
      <xdr:nvSpPr>
        <xdr:cNvPr id="2175" name="Text Box 877">
          <a:extLst>
            <a:ext uri="{FF2B5EF4-FFF2-40B4-BE49-F238E27FC236}">
              <a16:creationId xmlns:a16="http://schemas.microsoft.com/office/drawing/2014/main" id="{FDB329DD-8A2B-4485-6B2F-72EA6D3FD08D}"/>
            </a:ext>
          </a:extLst>
        </xdr:cNvPr>
        <xdr:cNvSpPr txBox="1">
          <a:spLocks noChangeArrowheads="1"/>
        </xdr:cNvSpPr>
      </xdr:nvSpPr>
      <xdr:spPr bwMode="auto">
        <a:xfrm>
          <a:off x="38282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68580</xdr:rowOff>
    </xdr:to>
    <xdr:sp macro="" textlink="">
      <xdr:nvSpPr>
        <xdr:cNvPr id="2176" name="Text Box 878">
          <a:extLst>
            <a:ext uri="{FF2B5EF4-FFF2-40B4-BE49-F238E27FC236}">
              <a16:creationId xmlns:a16="http://schemas.microsoft.com/office/drawing/2014/main" id="{99F1BA97-5F25-8AE2-E64C-4D6B0B6F1435}"/>
            </a:ext>
          </a:extLst>
        </xdr:cNvPr>
        <xdr:cNvSpPr txBox="1">
          <a:spLocks noChangeArrowheads="1"/>
        </xdr:cNvSpPr>
      </xdr:nvSpPr>
      <xdr:spPr bwMode="auto">
        <a:xfrm>
          <a:off x="38282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82</xdr:row>
      <xdr:rowOff>0</xdr:rowOff>
    </xdr:from>
    <xdr:to>
      <xdr:col>59</xdr:col>
      <xdr:colOff>0</xdr:colOff>
      <xdr:row>82</xdr:row>
      <xdr:rowOff>0</xdr:rowOff>
    </xdr:to>
    <xdr:sp macro="" textlink="">
      <xdr:nvSpPr>
        <xdr:cNvPr id="544" name="Text Box 879">
          <a:extLst>
            <a:ext uri="{FF2B5EF4-FFF2-40B4-BE49-F238E27FC236}">
              <a16:creationId xmlns:a16="http://schemas.microsoft.com/office/drawing/2014/main" id="{02FE2EF3-7539-1BAA-DA5A-724A1E053894}"/>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59</xdr:col>
      <xdr:colOff>0</xdr:colOff>
      <xdr:row>28</xdr:row>
      <xdr:rowOff>53340</xdr:rowOff>
    </xdr:from>
    <xdr:to>
      <xdr:col>59</xdr:col>
      <xdr:colOff>0</xdr:colOff>
      <xdr:row>29</xdr:row>
      <xdr:rowOff>68580</xdr:rowOff>
    </xdr:to>
    <xdr:sp macro="" textlink="">
      <xdr:nvSpPr>
        <xdr:cNvPr id="2178" name="Text Box 880">
          <a:extLst>
            <a:ext uri="{FF2B5EF4-FFF2-40B4-BE49-F238E27FC236}">
              <a16:creationId xmlns:a16="http://schemas.microsoft.com/office/drawing/2014/main" id="{49274EDD-08AB-5B19-8F7E-911FD260E7B3}"/>
            </a:ext>
          </a:extLst>
        </xdr:cNvPr>
        <xdr:cNvSpPr txBox="1">
          <a:spLocks noChangeArrowheads="1"/>
        </xdr:cNvSpPr>
      </xdr:nvSpPr>
      <xdr:spPr bwMode="auto">
        <a:xfrm>
          <a:off x="38282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68580</xdr:rowOff>
    </xdr:to>
    <xdr:sp macro="" textlink="">
      <xdr:nvSpPr>
        <xdr:cNvPr id="2179" name="Text Box 881">
          <a:extLst>
            <a:ext uri="{FF2B5EF4-FFF2-40B4-BE49-F238E27FC236}">
              <a16:creationId xmlns:a16="http://schemas.microsoft.com/office/drawing/2014/main" id="{86286B10-BF73-52AF-AE08-37F4009E90EB}"/>
            </a:ext>
          </a:extLst>
        </xdr:cNvPr>
        <xdr:cNvSpPr txBox="1">
          <a:spLocks noChangeArrowheads="1"/>
        </xdr:cNvSpPr>
      </xdr:nvSpPr>
      <xdr:spPr bwMode="auto">
        <a:xfrm>
          <a:off x="38282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83</xdr:row>
      <xdr:rowOff>0</xdr:rowOff>
    </xdr:from>
    <xdr:to>
      <xdr:col>59</xdr:col>
      <xdr:colOff>0</xdr:colOff>
      <xdr:row>83</xdr:row>
      <xdr:rowOff>0</xdr:rowOff>
    </xdr:to>
    <xdr:sp macro="" textlink="">
      <xdr:nvSpPr>
        <xdr:cNvPr id="547" name="Text Box 882">
          <a:extLst>
            <a:ext uri="{FF2B5EF4-FFF2-40B4-BE49-F238E27FC236}">
              <a16:creationId xmlns:a16="http://schemas.microsoft.com/office/drawing/2014/main" id="{C1B3597D-C36E-78D2-99E7-14689E3BDC17}"/>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66</xdr:col>
      <xdr:colOff>0</xdr:colOff>
      <xdr:row>28</xdr:row>
      <xdr:rowOff>53340</xdr:rowOff>
    </xdr:from>
    <xdr:to>
      <xdr:col>66</xdr:col>
      <xdr:colOff>0</xdr:colOff>
      <xdr:row>29</xdr:row>
      <xdr:rowOff>68580</xdr:rowOff>
    </xdr:to>
    <xdr:sp macro="" textlink="">
      <xdr:nvSpPr>
        <xdr:cNvPr id="2181" name="Text Box 449">
          <a:extLst>
            <a:ext uri="{FF2B5EF4-FFF2-40B4-BE49-F238E27FC236}">
              <a16:creationId xmlns:a16="http://schemas.microsoft.com/office/drawing/2014/main" id="{4FB41D51-D369-5FAE-4150-4B6FB7BE7F86}"/>
            </a:ext>
          </a:extLst>
        </xdr:cNvPr>
        <xdr:cNvSpPr txBox="1">
          <a:spLocks noChangeArrowheads="1"/>
        </xdr:cNvSpPr>
      </xdr:nvSpPr>
      <xdr:spPr bwMode="auto">
        <a:xfrm>
          <a:off x="431825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68580</xdr:rowOff>
    </xdr:to>
    <xdr:sp macro="" textlink="">
      <xdr:nvSpPr>
        <xdr:cNvPr id="2182" name="Text Box 452">
          <a:extLst>
            <a:ext uri="{FF2B5EF4-FFF2-40B4-BE49-F238E27FC236}">
              <a16:creationId xmlns:a16="http://schemas.microsoft.com/office/drawing/2014/main" id="{1195F503-84A3-833D-0212-95EC03336957}"/>
            </a:ext>
          </a:extLst>
        </xdr:cNvPr>
        <xdr:cNvSpPr txBox="1">
          <a:spLocks noChangeArrowheads="1"/>
        </xdr:cNvSpPr>
      </xdr:nvSpPr>
      <xdr:spPr bwMode="auto">
        <a:xfrm>
          <a:off x="431825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68580</xdr:rowOff>
    </xdr:to>
    <xdr:sp macro="" textlink="">
      <xdr:nvSpPr>
        <xdr:cNvPr id="2183" name="Text Box 545">
          <a:extLst>
            <a:ext uri="{FF2B5EF4-FFF2-40B4-BE49-F238E27FC236}">
              <a16:creationId xmlns:a16="http://schemas.microsoft.com/office/drawing/2014/main" id="{C538431B-4DBC-9793-1072-ADE6BDE59403}"/>
            </a:ext>
          </a:extLst>
        </xdr:cNvPr>
        <xdr:cNvSpPr txBox="1">
          <a:spLocks noChangeArrowheads="1"/>
        </xdr:cNvSpPr>
      </xdr:nvSpPr>
      <xdr:spPr bwMode="auto">
        <a:xfrm>
          <a:off x="431825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68580</xdr:rowOff>
    </xdr:to>
    <xdr:sp macro="" textlink="">
      <xdr:nvSpPr>
        <xdr:cNvPr id="2184" name="Text Box 546">
          <a:extLst>
            <a:ext uri="{FF2B5EF4-FFF2-40B4-BE49-F238E27FC236}">
              <a16:creationId xmlns:a16="http://schemas.microsoft.com/office/drawing/2014/main" id="{A1303C8A-C90D-6978-50DF-71337515C53B}"/>
            </a:ext>
          </a:extLst>
        </xdr:cNvPr>
        <xdr:cNvSpPr txBox="1">
          <a:spLocks noChangeArrowheads="1"/>
        </xdr:cNvSpPr>
      </xdr:nvSpPr>
      <xdr:spPr bwMode="auto">
        <a:xfrm>
          <a:off x="431825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82</xdr:row>
      <xdr:rowOff>0</xdr:rowOff>
    </xdr:from>
    <xdr:to>
      <xdr:col>66</xdr:col>
      <xdr:colOff>0</xdr:colOff>
      <xdr:row>82</xdr:row>
      <xdr:rowOff>0</xdr:rowOff>
    </xdr:to>
    <xdr:sp macro="" textlink="">
      <xdr:nvSpPr>
        <xdr:cNvPr id="569" name="Text Box 547">
          <a:extLst>
            <a:ext uri="{FF2B5EF4-FFF2-40B4-BE49-F238E27FC236}">
              <a16:creationId xmlns:a16="http://schemas.microsoft.com/office/drawing/2014/main" id="{357141AF-69D0-968A-CFFB-EB3967EA9D33}"/>
            </a:ext>
          </a:extLst>
        </xdr:cNvPr>
        <xdr:cNvSpPr txBox="1">
          <a:spLocks noChangeArrowheads="1"/>
        </xdr:cNvSpPr>
      </xdr:nvSpPr>
      <xdr:spPr bwMode="auto">
        <a:xfrm>
          <a:off x="552507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66</xdr:col>
      <xdr:colOff>0</xdr:colOff>
      <xdr:row>28</xdr:row>
      <xdr:rowOff>53340</xdr:rowOff>
    </xdr:from>
    <xdr:to>
      <xdr:col>66</xdr:col>
      <xdr:colOff>0</xdr:colOff>
      <xdr:row>29</xdr:row>
      <xdr:rowOff>68580</xdr:rowOff>
    </xdr:to>
    <xdr:sp macro="" textlink="">
      <xdr:nvSpPr>
        <xdr:cNvPr id="2186" name="Text Box 548">
          <a:extLst>
            <a:ext uri="{FF2B5EF4-FFF2-40B4-BE49-F238E27FC236}">
              <a16:creationId xmlns:a16="http://schemas.microsoft.com/office/drawing/2014/main" id="{971E372A-0A56-DC3A-C6C9-F812C673792D}"/>
            </a:ext>
          </a:extLst>
        </xdr:cNvPr>
        <xdr:cNvSpPr txBox="1">
          <a:spLocks noChangeArrowheads="1"/>
        </xdr:cNvSpPr>
      </xdr:nvSpPr>
      <xdr:spPr bwMode="auto">
        <a:xfrm>
          <a:off x="431825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68580</xdr:rowOff>
    </xdr:to>
    <xdr:sp macro="" textlink="">
      <xdr:nvSpPr>
        <xdr:cNvPr id="2187" name="Text Box 549">
          <a:extLst>
            <a:ext uri="{FF2B5EF4-FFF2-40B4-BE49-F238E27FC236}">
              <a16:creationId xmlns:a16="http://schemas.microsoft.com/office/drawing/2014/main" id="{F8E02FB2-CF05-6AAD-ACC1-AB64A300A656}"/>
            </a:ext>
          </a:extLst>
        </xdr:cNvPr>
        <xdr:cNvSpPr txBox="1">
          <a:spLocks noChangeArrowheads="1"/>
        </xdr:cNvSpPr>
      </xdr:nvSpPr>
      <xdr:spPr bwMode="auto">
        <a:xfrm>
          <a:off x="431825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83</xdr:row>
      <xdr:rowOff>0</xdr:rowOff>
    </xdr:from>
    <xdr:to>
      <xdr:col>66</xdr:col>
      <xdr:colOff>0</xdr:colOff>
      <xdr:row>83</xdr:row>
      <xdr:rowOff>0</xdr:rowOff>
    </xdr:to>
    <xdr:sp macro="" textlink="">
      <xdr:nvSpPr>
        <xdr:cNvPr id="572" name="Text Box 550">
          <a:extLst>
            <a:ext uri="{FF2B5EF4-FFF2-40B4-BE49-F238E27FC236}">
              <a16:creationId xmlns:a16="http://schemas.microsoft.com/office/drawing/2014/main" id="{AB0F1FE9-7D30-F801-9C03-C5A00931DBF3}"/>
            </a:ext>
          </a:extLst>
        </xdr:cNvPr>
        <xdr:cNvSpPr txBox="1">
          <a:spLocks noChangeArrowheads="1"/>
        </xdr:cNvSpPr>
      </xdr:nvSpPr>
      <xdr:spPr bwMode="auto">
        <a:xfrm>
          <a:off x="552697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66</xdr:col>
      <xdr:colOff>0</xdr:colOff>
      <xdr:row>87</xdr:row>
      <xdr:rowOff>0</xdr:rowOff>
    </xdr:from>
    <xdr:to>
      <xdr:col>66</xdr:col>
      <xdr:colOff>0</xdr:colOff>
      <xdr:row>87</xdr:row>
      <xdr:rowOff>0</xdr:rowOff>
    </xdr:to>
    <xdr:sp macro="" textlink="">
      <xdr:nvSpPr>
        <xdr:cNvPr id="573" name="Text Box 746">
          <a:extLst>
            <a:ext uri="{FF2B5EF4-FFF2-40B4-BE49-F238E27FC236}">
              <a16:creationId xmlns:a16="http://schemas.microsoft.com/office/drawing/2014/main" id="{AC0DBFD0-88CF-8AE4-51A9-1E671A30E009}"/>
            </a:ext>
          </a:extLst>
        </xdr:cNvPr>
        <xdr:cNvSpPr txBox="1">
          <a:spLocks noChangeArrowheads="1"/>
        </xdr:cNvSpPr>
      </xdr:nvSpPr>
      <xdr:spPr bwMode="auto">
        <a:xfrm>
          <a:off x="552697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66</xdr:col>
      <xdr:colOff>0</xdr:colOff>
      <xdr:row>28</xdr:row>
      <xdr:rowOff>53340</xdr:rowOff>
    </xdr:from>
    <xdr:to>
      <xdr:col>66</xdr:col>
      <xdr:colOff>0</xdr:colOff>
      <xdr:row>29</xdr:row>
      <xdr:rowOff>68580</xdr:rowOff>
    </xdr:to>
    <xdr:sp macro="" textlink="">
      <xdr:nvSpPr>
        <xdr:cNvPr id="2190" name="Text Box 875">
          <a:extLst>
            <a:ext uri="{FF2B5EF4-FFF2-40B4-BE49-F238E27FC236}">
              <a16:creationId xmlns:a16="http://schemas.microsoft.com/office/drawing/2014/main" id="{EDE9F3AB-89AF-87F3-0D57-0708C4742BA0}"/>
            </a:ext>
          </a:extLst>
        </xdr:cNvPr>
        <xdr:cNvSpPr txBox="1">
          <a:spLocks noChangeArrowheads="1"/>
        </xdr:cNvSpPr>
      </xdr:nvSpPr>
      <xdr:spPr bwMode="auto">
        <a:xfrm>
          <a:off x="431825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68580</xdr:rowOff>
    </xdr:to>
    <xdr:sp macro="" textlink="">
      <xdr:nvSpPr>
        <xdr:cNvPr id="2191" name="Text Box 876">
          <a:extLst>
            <a:ext uri="{FF2B5EF4-FFF2-40B4-BE49-F238E27FC236}">
              <a16:creationId xmlns:a16="http://schemas.microsoft.com/office/drawing/2014/main" id="{B22A9FD9-5890-94E1-E1B3-761F653747DD}"/>
            </a:ext>
          </a:extLst>
        </xdr:cNvPr>
        <xdr:cNvSpPr txBox="1">
          <a:spLocks noChangeArrowheads="1"/>
        </xdr:cNvSpPr>
      </xdr:nvSpPr>
      <xdr:spPr bwMode="auto">
        <a:xfrm>
          <a:off x="431825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68580</xdr:rowOff>
    </xdr:to>
    <xdr:sp macro="" textlink="">
      <xdr:nvSpPr>
        <xdr:cNvPr id="2192" name="Text Box 877">
          <a:extLst>
            <a:ext uri="{FF2B5EF4-FFF2-40B4-BE49-F238E27FC236}">
              <a16:creationId xmlns:a16="http://schemas.microsoft.com/office/drawing/2014/main" id="{904355DE-88FF-44F6-E125-2F9EA6965979}"/>
            </a:ext>
          </a:extLst>
        </xdr:cNvPr>
        <xdr:cNvSpPr txBox="1">
          <a:spLocks noChangeArrowheads="1"/>
        </xdr:cNvSpPr>
      </xdr:nvSpPr>
      <xdr:spPr bwMode="auto">
        <a:xfrm>
          <a:off x="431825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68580</xdr:rowOff>
    </xdr:to>
    <xdr:sp macro="" textlink="">
      <xdr:nvSpPr>
        <xdr:cNvPr id="2193" name="Text Box 878">
          <a:extLst>
            <a:ext uri="{FF2B5EF4-FFF2-40B4-BE49-F238E27FC236}">
              <a16:creationId xmlns:a16="http://schemas.microsoft.com/office/drawing/2014/main" id="{95CF2D21-E13B-07E1-FD8B-7F06DDF8FE96}"/>
            </a:ext>
          </a:extLst>
        </xdr:cNvPr>
        <xdr:cNvSpPr txBox="1">
          <a:spLocks noChangeArrowheads="1"/>
        </xdr:cNvSpPr>
      </xdr:nvSpPr>
      <xdr:spPr bwMode="auto">
        <a:xfrm>
          <a:off x="431825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82</xdr:row>
      <xdr:rowOff>0</xdr:rowOff>
    </xdr:from>
    <xdr:to>
      <xdr:col>66</xdr:col>
      <xdr:colOff>0</xdr:colOff>
      <xdr:row>82</xdr:row>
      <xdr:rowOff>0</xdr:rowOff>
    </xdr:to>
    <xdr:sp macro="" textlink="">
      <xdr:nvSpPr>
        <xdr:cNvPr id="578" name="Text Box 879">
          <a:extLst>
            <a:ext uri="{FF2B5EF4-FFF2-40B4-BE49-F238E27FC236}">
              <a16:creationId xmlns:a16="http://schemas.microsoft.com/office/drawing/2014/main" id="{9B0CF3B8-3A0D-9A09-BAB2-1F86CBA5B44E}"/>
            </a:ext>
          </a:extLst>
        </xdr:cNvPr>
        <xdr:cNvSpPr txBox="1">
          <a:spLocks noChangeArrowheads="1"/>
        </xdr:cNvSpPr>
      </xdr:nvSpPr>
      <xdr:spPr bwMode="auto">
        <a:xfrm>
          <a:off x="552507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66</xdr:col>
      <xdr:colOff>0</xdr:colOff>
      <xdr:row>28</xdr:row>
      <xdr:rowOff>53340</xdr:rowOff>
    </xdr:from>
    <xdr:to>
      <xdr:col>66</xdr:col>
      <xdr:colOff>0</xdr:colOff>
      <xdr:row>29</xdr:row>
      <xdr:rowOff>68580</xdr:rowOff>
    </xdr:to>
    <xdr:sp macro="" textlink="">
      <xdr:nvSpPr>
        <xdr:cNvPr id="2195" name="Text Box 880">
          <a:extLst>
            <a:ext uri="{FF2B5EF4-FFF2-40B4-BE49-F238E27FC236}">
              <a16:creationId xmlns:a16="http://schemas.microsoft.com/office/drawing/2014/main" id="{84F3B83B-E32E-8860-B3DF-316654FB4CFF}"/>
            </a:ext>
          </a:extLst>
        </xdr:cNvPr>
        <xdr:cNvSpPr txBox="1">
          <a:spLocks noChangeArrowheads="1"/>
        </xdr:cNvSpPr>
      </xdr:nvSpPr>
      <xdr:spPr bwMode="auto">
        <a:xfrm>
          <a:off x="431825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68580</xdr:rowOff>
    </xdr:to>
    <xdr:sp macro="" textlink="">
      <xdr:nvSpPr>
        <xdr:cNvPr id="2196" name="Text Box 881">
          <a:extLst>
            <a:ext uri="{FF2B5EF4-FFF2-40B4-BE49-F238E27FC236}">
              <a16:creationId xmlns:a16="http://schemas.microsoft.com/office/drawing/2014/main" id="{4D56EEF1-77EB-7660-54B1-1F555473BE08}"/>
            </a:ext>
          </a:extLst>
        </xdr:cNvPr>
        <xdr:cNvSpPr txBox="1">
          <a:spLocks noChangeArrowheads="1"/>
        </xdr:cNvSpPr>
      </xdr:nvSpPr>
      <xdr:spPr bwMode="auto">
        <a:xfrm>
          <a:off x="4318254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83</xdr:row>
      <xdr:rowOff>0</xdr:rowOff>
    </xdr:from>
    <xdr:to>
      <xdr:col>66</xdr:col>
      <xdr:colOff>0</xdr:colOff>
      <xdr:row>83</xdr:row>
      <xdr:rowOff>0</xdr:rowOff>
    </xdr:to>
    <xdr:sp macro="" textlink="">
      <xdr:nvSpPr>
        <xdr:cNvPr id="581" name="Text Box 882">
          <a:extLst>
            <a:ext uri="{FF2B5EF4-FFF2-40B4-BE49-F238E27FC236}">
              <a16:creationId xmlns:a16="http://schemas.microsoft.com/office/drawing/2014/main" id="{429ED3E8-5084-D1CD-4C3B-327C47410AD2}"/>
            </a:ext>
          </a:extLst>
        </xdr:cNvPr>
        <xdr:cNvSpPr txBox="1">
          <a:spLocks noChangeArrowheads="1"/>
        </xdr:cNvSpPr>
      </xdr:nvSpPr>
      <xdr:spPr bwMode="auto">
        <a:xfrm>
          <a:off x="552697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75</xdr:col>
      <xdr:colOff>0</xdr:colOff>
      <xdr:row>28</xdr:row>
      <xdr:rowOff>53340</xdr:rowOff>
    </xdr:from>
    <xdr:to>
      <xdr:col>75</xdr:col>
      <xdr:colOff>0</xdr:colOff>
      <xdr:row>29</xdr:row>
      <xdr:rowOff>68580</xdr:rowOff>
    </xdr:to>
    <xdr:sp macro="" textlink="">
      <xdr:nvSpPr>
        <xdr:cNvPr id="2198" name="Text Box 449">
          <a:extLst>
            <a:ext uri="{FF2B5EF4-FFF2-40B4-BE49-F238E27FC236}">
              <a16:creationId xmlns:a16="http://schemas.microsoft.com/office/drawing/2014/main" id="{2EFF6539-AB25-364C-34C3-4622A1E3F9A5}"/>
            </a:ext>
          </a:extLst>
        </xdr:cNvPr>
        <xdr:cNvSpPr txBox="1">
          <a:spLocks noChangeArrowheads="1"/>
        </xdr:cNvSpPr>
      </xdr:nvSpPr>
      <xdr:spPr bwMode="auto">
        <a:xfrm>
          <a:off x="48950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68580</xdr:rowOff>
    </xdr:to>
    <xdr:sp macro="" textlink="">
      <xdr:nvSpPr>
        <xdr:cNvPr id="2199" name="Text Box 452">
          <a:extLst>
            <a:ext uri="{FF2B5EF4-FFF2-40B4-BE49-F238E27FC236}">
              <a16:creationId xmlns:a16="http://schemas.microsoft.com/office/drawing/2014/main" id="{9694FCAC-97E5-DCDB-CEA0-5E38FAAF6EBF}"/>
            </a:ext>
          </a:extLst>
        </xdr:cNvPr>
        <xdr:cNvSpPr txBox="1">
          <a:spLocks noChangeArrowheads="1"/>
        </xdr:cNvSpPr>
      </xdr:nvSpPr>
      <xdr:spPr bwMode="auto">
        <a:xfrm>
          <a:off x="48950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68580</xdr:rowOff>
    </xdr:to>
    <xdr:sp macro="" textlink="">
      <xdr:nvSpPr>
        <xdr:cNvPr id="2200" name="Text Box 545">
          <a:extLst>
            <a:ext uri="{FF2B5EF4-FFF2-40B4-BE49-F238E27FC236}">
              <a16:creationId xmlns:a16="http://schemas.microsoft.com/office/drawing/2014/main" id="{A5459F31-B012-C4E3-4AA4-51A914E7ACB9}"/>
            </a:ext>
          </a:extLst>
        </xdr:cNvPr>
        <xdr:cNvSpPr txBox="1">
          <a:spLocks noChangeArrowheads="1"/>
        </xdr:cNvSpPr>
      </xdr:nvSpPr>
      <xdr:spPr bwMode="auto">
        <a:xfrm>
          <a:off x="48950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68580</xdr:rowOff>
    </xdr:to>
    <xdr:sp macro="" textlink="">
      <xdr:nvSpPr>
        <xdr:cNvPr id="2201" name="Text Box 546">
          <a:extLst>
            <a:ext uri="{FF2B5EF4-FFF2-40B4-BE49-F238E27FC236}">
              <a16:creationId xmlns:a16="http://schemas.microsoft.com/office/drawing/2014/main" id="{E48BB3B5-E56F-E633-6C0A-55EBE58C3EA5}"/>
            </a:ext>
          </a:extLst>
        </xdr:cNvPr>
        <xdr:cNvSpPr txBox="1">
          <a:spLocks noChangeArrowheads="1"/>
        </xdr:cNvSpPr>
      </xdr:nvSpPr>
      <xdr:spPr bwMode="auto">
        <a:xfrm>
          <a:off x="48950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82</xdr:row>
      <xdr:rowOff>0</xdr:rowOff>
    </xdr:from>
    <xdr:to>
      <xdr:col>75</xdr:col>
      <xdr:colOff>0</xdr:colOff>
      <xdr:row>82</xdr:row>
      <xdr:rowOff>0</xdr:rowOff>
    </xdr:to>
    <xdr:sp macro="" textlink="">
      <xdr:nvSpPr>
        <xdr:cNvPr id="586" name="Text Box 547">
          <a:extLst>
            <a:ext uri="{FF2B5EF4-FFF2-40B4-BE49-F238E27FC236}">
              <a16:creationId xmlns:a16="http://schemas.microsoft.com/office/drawing/2014/main" id="{77144241-FBA7-2588-0AE4-68AD415A7594}"/>
            </a:ext>
          </a:extLst>
        </xdr:cNvPr>
        <xdr:cNvSpPr txBox="1">
          <a:spLocks noChangeArrowheads="1"/>
        </xdr:cNvSpPr>
      </xdr:nvSpPr>
      <xdr:spPr bwMode="auto">
        <a:xfrm>
          <a:off x="552507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75</xdr:col>
      <xdr:colOff>0</xdr:colOff>
      <xdr:row>28</xdr:row>
      <xdr:rowOff>53340</xdr:rowOff>
    </xdr:from>
    <xdr:to>
      <xdr:col>75</xdr:col>
      <xdr:colOff>0</xdr:colOff>
      <xdr:row>29</xdr:row>
      <xdr:rowOff>68580</xdr:rowOff>
    </xdr:to>
    <xdr:sp macro="" textlink="">
      <xdr:nvSpPr>
        <xdr:cNvPr id="2203" name="Text Box 548">
          <a:extLst>
            <a:ext uri="{FF2B5EF4-FFF2-40B4-BE49-F238E27FC236}">
              <a16:creationId xmlns:a16="http://schemas.microsoft.com/office/drawing/2014/main" id="{16A8E553-2A95-AC52-67F6-7E9D92CC00FE}"/>
            </a:ext>
          </a:extLst>
        </xdr:cNvPr>
        <xdr:cNvSpPr txBox="1">
          <a:spLocks noChangeArrowheads="1"/>
        </xdr:cNvSpPr>
      </xdr:nvSpPr>
      <xdr:spPr bwMode="auto">
        <a:xfrm>
          <a:off x="48950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68580</xdr:rowOff>
    </xdr:to>
    <xdr:sp macro="" textlink="">
      <xdr:nvSpPr>
        <xdr:cNvPr id="2204" name="Text Box 549">
          <a:extLst>
            <a:ext uri="{FF2B5EF4-FFF2-40B4-BE49-F238E27FC236}">
              <a16:creationId xmlns:a16="http://schemas.microsoft.com/office/drawing/2014/main" id="{7036BA31-B603-B31C-20D3-367315CBEF79}"/>
            </a:ext>
          </a:extLst>
        </xdr:cNvPr>
        <xdr:cNvSpPr txBox="1">
          <a:spLocks noChangeArrowheads="1"/>
        </xdr:cNvSpPr>
      </xdr:nvSpPr>
      <xdr:spPr bwMode="auto">
        <a:xfrm>
          <a:off x="48950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83</xdr:row>
      <xdr:rowOff>0</xdr:rowOff>
    </xdr:from>
    <xdr:to>
      <xdr:col>75</xdr:col>
      <xdr:colOff>0</xdr:colOff>
      <xdr:row>83</xdr:row>
      <xdr:rowOff>0</xdr:rowOff>
    </xdr:to>
    <xdr:sp macro="" textlink="">
      <xdr:nvSpPr>
        <xdr:cNvPr id="589" name="Text Box 550">
          <a:extLst>
            <a:ext uri="{FF2B5EF4-FFF2-40B4-BE49-F238E27FC236}">
              <a16:creationId xmlns:a16="http://schemas.microsoft.com/office/drawing/2014/main" id="{B51D1E99-121A-ED2B-8781-0C5F75AEEE28}"/>
            </a:ext>
          </a:extLst>
        </xdr:cNvPr>
        <xdr:cNvSpPr txBox="1">
          <a:spLocks noChangeArrowheads="1"/>
        </xdr:cNvSpPr>
      </xdr:nvSpPr>
      <xdr:spPr bwMode="auto">
        <a:xfrm>
          <a:off x="552697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75</xdr:col>
      <xdr:colOff>0</xdr:colOff>
      <xdr:row>87</xdr:row>
      <xdr:rowOff>0</xdr:rowOff>
    </xdr:from>
    <xdr:to>
      <xdr:col>75</xdr:col>
      <xdr:colOff>0</xdr:colOff>
      <xdr:row>87</xdr:row>
      <xdr:rowOff>0</xdr:rowOff>
    </xdr:to>
    <xdr:sp macro="" textlink="">
      <xdr:nvSpPr>
        <xdr:cNvPr id="590" name="Text Box 746">
          <a:extLst>
            <a:ext uri="{FF2B5EF4-FFF2-40B4-BE49-F238E27FC236}">
              <a16:creationId xmlns:a16="http://schemas.microsoft.com/office/drawing/2014/main" id="{4C3C2FD3-A75C-3CDE-F7B8-5D0CCCED31C6}"/>
            </a:ext>
          </a:extLst>
        </xdr:cNvPr>
        <xdr:cNvSpPr txBox="1">
          <a:spLocks noChangeArrowheads="1"/>
        </xdr:cNvSpPr>
      </xdr:nvSpPr>
      <xdr:spPr bwMode="auto">
        <a:xfrm>
          <a:off x="552697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75</xdr:col>
      <xdr:colOff>0</xdr:colOff>
      <xdr:row>28</xdr:row>
      <xdr:rowOff>53340</xdr:rowOff>
    </xdr:from>
    <xdr:to>
      <xdr:col>75</xdr:col>
      <xdr:colOff>0</xdr:colOff>
      <xdr:row>29</xdr:row>
      <xdr:rowOff>68580</xdr:rowOff>
    </xdr:to>
    <xdr:sp macro="" textlink="">
      <xdr:nvSpPr>
        <xdr:cNvPr id="2207" name="Text Box 875">
          <a:extLst>
            <a:ext uri="{FF2B5EF4-FFF2-40B4-BE49-F238E27FC236}">
              <a16:creationId xmlns:a16="http://schemas.microsoft.com/office/drawing/2014/main" id="{2E82C2EE-8360-E5DB-546A-8DEF0BF397E4}"/>
            </a:ext>
          </a:extLst>
        </xdr:cNvPr>
        <xdr:cNvSpPr txBox="1">
          <a:spLocks noChangeArrowheads="1"/>
        </xdr:cNvSpPr>
      </xdr:nvSpPr>
      <xdr:spPr bwMode="auto">
        <a:xfrm>
          <a:off x="48950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68580</xdr:rowOff>
    </xdr:to>
    <xdr:sp macro="" textlink="">
      <xdr:nvSpPr>
        <xdr:cNvPr id="2208" name="Text Box 876">
          <a:extLst>
            <a:ext uri="{FF2B5EF4-FFF2-40B4-BE49-F238E27FC236}">
              <a16:creationId xmlns:a16="http://schemas.microsoft.com/office/drawing/2014/main" id="{1EE98628-71D3-F5D3-3F9E-FE8ED921CD37}"/>
            </a:ext>
          </a:extLst>
        </xdr:cNvPr>
        <xdr:cNvSpPr txBox="1">
          <a:spLocks noChangeArrowheads="1"/>
        </xdr:cNvSpPr>
      </xdr:nvSpPr>
      <xdr:spPr bwMode="auto">
        <a:xfrm>
          <a:off x="48950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68580</xdr:rowOff>
    </xdr:to>
    <xdr:sp macro="" textlink="">
      <xdr:nvSpPr>
        <xdr:cNvPr id="2209" name="Text Box 877">
          <a:extLst>
            <a:ext uri="{FF2B5EF4-FFF2-40B4-BE49-F238E27FC236}">
              <a16:creationId xmlns:a16="http://schemas.microsoft.com/office/drawing/2014/main" id="{008D2B97-D6FB-EAE0-1D9D-2DC433808867}"/>
            </a:ext>
          </a:extLst>
        </xdr:cNvPr>
        <xdr:cNvSpPr txBox="1">
          <a:spLocks noChangeArrowheads="1"/>
        </xdr:cNvSpPr>
      </xdr:nvSpPr>
      <xdr:spPr bwMode="auto">
        <a:xfrm>
          <a:off x="48950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68580</xdr:rowOff>
    </xdr:to>
    <xdr:sp macro="" textlink="">
      <xdr:nvSpPr>
        <xdr:cNvPr id="2210" name="Text Box 878">
          <a:extLst>
            <a:ext uri="{FF2B5EF4-FFF2-40B4-BE49-F238E27FC236}">
              <a16:creationId xmlns:a16="http://schemas.microsoft.com/office/drawing/2014/main" id="{AE9C727F-50EE-7A4F-E2EA-2B3C758CA6A0}"/>
            </a:ext>
          </a:extLst>
        </xdr:cNvPr>
        <xdr:cNvSpPr txBox="1">
          <a:spLocks noChangeArrowheads="1"/>
        </xdr:cNvSpPr>
      </xdr:nvSpPr>
      <xdr:spPr bwMode="auto">
        <a:xfrm>
          <a:off x="48950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82</xdr:row>
      <xdr:rowOff>0</xdr:rowOff>
    </xdr:from>
    <xdr:to>
      <xdr:col>75</xdr:col>
      <xdr:colOff>0</xdr:colOff>
      <xdr:row>82</xdr:row>
      <xdr:rowOff>0</xdr:rowOff>
    </xdr:to>
    <xdr:sp macro="" textlink="">
      <xdr:nvSpPr>
        <xdr:cNvPr id="595" name="Text Box 879">
          <a:extLst>
            <a:ext uri="{FF2B5EF4-FFF2-40B4-BE49-F238E27FC236}">
              <a16:creationId xmlns:a16="http://schemas.microsoft.com/office/drawing/2014/main" id="{2BA5A284-D6C5-10EA-49BF-508A9EFB53B3}"/>
            </a:ext>
          </a:extLst>
        </xdr:cNvPr>
        <xdr:cNvSpPr txBox="1">
          <a:spLocks noChangeArrowheads="1"/>
        </xdr:cNvSpPr>
      </xdr:nvSpPr>
      <xdr:spPr bwMode="auto">
        <a:xfrm>
          <a:off x="552507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75</xdr:col>
      <xdr:colOff>0</xdr:colOff>
      <xdr:row>28</xdr:row>
      <xdr:rowOff>53340</xdr:rowOff>
    </xdr:from>
    <xdr:to>
      <xdr:col>75</xdr:col>
      <xdr:colOff>0</xdr:colOff>
      <xdr:row>29</xdr:row>
      <xdr:rowOff>68580</xdr:rowOff>
    </xdr:to>
    <xdr:sp macro="" textlink="">
      <xdr:nvSpPr>
        <xdr:cNvPr id="2212" name="Text Box 880">
          <a:extLst>
            <a:ext uri="{FF2B5EF4-FFF2-40B4-BE49-F238E27FC236}">
              <a16:creationId xmlns:a16="http://schemas.microsoft.com/office/drawing/2014/main" id="{A55ACDD8-31EE-F930-91C1-3BDAD6D94917}"/>
            </a:ext>
          </a:extLst>
        </xdr:cNvPr>
        <xdr:cNvSpPr txBox="1">
          <a:spLocks noChangeArrowheads="1"/>
        </xdr:cNvSpPr>
      </xdr:nvSpPr>
      <xdr:spPr bwMode="auto">
        <a:xfrm>
          <a:off x="48950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68580</xdr:rowOff>
    </xdr:to>
    <xdr:sp macro="" textlink="">
      <xdr:nvSpPr>
        <xdr:cNvPr id="2213" name="Text Box 881">
          <a:extLst>
            <a:ext uri="{FF2B5EF4-FFF2-40B4-BE49-F238E27FC236}">
              <a16:creationId xmlns:a16="http://schemas.microsoft.com/office/drawing/2014/main" id="{E28BF7A4-1865-4A49-1E08-AEB53A0D06F0}"/>
            </a:ext>
          </a:extLst>
        </xdr:cNvPr>
        <xdr:cNvSpPr txBox="1">
          <a:spLocks noChangeArrowheads="1"/>
        </xdr:cNvSpPr>
      </xdr:nvSpPr>
      <xdr:spPr bwMode="auto">
        <a:xfrm>
          <a:off x="4895088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83</xdr:row>
      <xdr:rowOff>0</xdr:rowOff>
    </xdr:from>
    <xdr:to>
      <xdr:col>75</xdr:col>
      <xdr:colOff>0</xdr:colOff>
      <xdr:row>83</xdr:row>
      <xdr:rowOff>0</xdr:rowOff>
    </xdr:to>
    <xdr:sp macro="" textlink="">
      <xdr:nvSpPr>
        <xdr:cNvPr id="598" name="Text Box 882">
          <a:extLst>
            <a:ext uri="{FF2B5EF4-FFF2-40B4-BE49-F238E27FC236}">
              <a16:creationId xmlns:a16="http://schemas.microsoft.com/office/drawing/2014/main" id="{7CE9633A-D017-3FB8-D7B2-A3F14B7919C2}"/>
            </a:ext>
          </a:extLst>
        </xdr:cNvPr>
        <xdr:cNvSpPr txBox="1">
          <a:spLocks noChangeArrowheads="1"/>
        </xdr:cNvSpPr>
      </xdr:nvSpPr>
      <xdr:spPr bwMode="auto">
        <a:xfrm>
          <a:off x="552697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81</xdr:col>
      <xdr:colOff>0</xdr:colOff>
      <xdr:row>28</xdr:row>
      <xdr:rowOff>53340</xdr:rowOff>
    </xdr:from>
    <xdr:to>
      <xdr:col>81</xdr:col>
      <xdr:colOff>0</xdr:colOff>
      <xdr:row>29</xdr:row>
      <xdr:rowOff>68580</xdr:rowOff>
    </xdr:to>
    <xdr:sp macro="" textlink="">
      <xdr:nvSpPr>
        <xdr:cNvPr id="2215" name="Text Box 449">
          <a:extLst>
            <a:ext uri="{FF2B5EF4-FFF2-40B4-BE49-F238E27FC236}">
              <a16:creationId xmlns:a16="http://schemas.microsoft.com/office/drawing/2014/main" id="{B99F3EA0-87AB-B331-B126-EBC46E81C9C7}"/>
            </a:ext>
          </a:extLst>
        </xdr:cNvPr>
        <xdr:cNvSpPr txBox="1">
          <a:spLocks noChangeArrowheads="1"/>
        </xdr:cNvSpPr>
      </xdr:nvSpPr>
      <xdr:spPr bwMode="auto">
        <a:xfrm>
          <a:off x="542925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68580</xdr:rowOff>
    </xdr:to>
    <xdr:sp macro="" textlink="">
      <xdr:nvSpPr>
        <xdr:cNvPr id="2216" name="Text Box 452">
          <a:extLst>
            <a:ext uri="{FF2B5EF4-FFF2-40B4-BE49-F238E27FC236}">
              <a16:creationId xmlns:a16="http://schemas.microsoft.com/office/drawing/2014/main" id="{21C21DD3-FCB4-D192-C67F-E1C558AAC4E2}"/>
            </a:ext>
          </a:extLst>
        </xdr:cNvPr>
        <xdr:cNvSpPr txBox="1">
          <a:spLocks noChangeArrowheads="1"/>
        </xdr:cNvSpPr>
      </xdr:nvSpPr>
      <xdr:spPr bwMode="auto">
        <a:xfrm>
          <a:off x="542925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68580</xdr:rowOff>
    </xdr:to>
    <xdr:sp macro="" textlink="">
      <xdr:nvSpPr>
        <xdr:cNvPr id="2217" name="Text Box 545">
          <a:extLst>
            <a:ext uri="{FF2B5EF4-FFF2-40B4-BE49-F238E27FC236}">
              <a16:creationId xmlns:a16="http://schemas.microsoft.com/office/drawing/2014/main" id="{C70E832A-E6D1-166A-A56B-1E7B626F84F5}"/>
            </a:ext>
          </a:extLst>
        </xdr:cNvPr>
        <xdr:cNvSpPr txBox="1">
          <a:spLocks noChangeArrowheads="1"/>
        </xdr:cNvSpPr>
      </xdr:nvSpPr>
      <xdr:spPr bwMode="auto">
        <a:xfrm>
          <a:off x="542925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68580</xdr:rowOff>
    </xdr:to>
    <xdr:sp macro="" textlink="">
      <xdr:nvSpPr>
        <xdr:cNvPr id="2218" name="Text Box 546">
          <a:extLst>
            <a:ext uri="{FF2B5EF4-FFF2-40B4-BE49-F238E27FC236}">
              <a16:creationId xmlns:a16="http://schemas.microsoft.com/office/drawing/2014/main" id="{13D377D1-0D45-D067-6FAE-3CD79922BC83}"/>
            </a:ext>
          </a:extLst>
        </xdr:cNvPr>
        <xdr:cNvSpPr txBox="1">
          <a:spLocks noChangeArrowheads="1"/>
        </xdr:cNvSpPr>
      </xdr:nvSpPr>
      <xdr:spPr bwMode="auto">
        <a:xfrm>
          <a:off x="542925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82</xdr:row>
      <xdr:rowOff>0</xdr:rowOff>
    </xdr:from>
    <xdr:to>
      <xdr:col>81</xdr:col>
      <xdr:colOff>0</xdr:colOff>
      <xdr:row>82</xdr:row>
      <xdr:rowOff>0</xdr:rowOff>
    </xdr:to>
    <xdr:sp macro="" textlink="">
      <xdr:nvSpPr>
        <xdr:cNvPr id="603" name="Text Box 547">
          <a:extLst>
            <a:ext uri="{FF2B5EF4-FFF2-40B4-BE49-F238E27FC236}">
              <a16:creationId xmlns:a16="http://schemas.microsoft.com/office/drawing/2014/main" id="{FB6E00B1-EF85-8E46-5998-AEB10F994038}"/>
            </a:ext>
          </a:extLst>
        </xdr:cNvPr>
        <xdr:cNvSpPr txBox="1">
          <a:spLocks noChangeArrowheads="1"/>
        </xdr:cNvSpPr>
      </xdr:nvSpPr>
      <xdr:spPr bwMode="auto">
        <a:xfrm>
          <a:off x="709707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81</xdr:col>
      <xdr:colOff>0</xdr:colOff>
      <xdr:row>28</xdr:row>
      <xdr:rowOff>53340</xdr:rowOff>
    </xdr:from>
    <xdr:to>
      <xdr:col>81</xdr:col>
      <xdr:colOff>0</xdr:colOff>
      <xdr:row>29</xdr:row>
      <xdr:rowOff>68580</xdr:rowOff>
    </xdr:to>
    <xdr:sp macro="" textlink="">
      <xdr:nvSpPr>
        <xdr:cNvPr id="2220" name="Text Box 548">
          <a:extLst>
            <a:ext uri="{FF2B5EF4-FFF2-40B4-BE49-F238E27FC236}">
              <a16:creationId xmlns:a16="http://schemas.microsoft.com/office/drawing/2014/main" id="{75D30156-3280-8802-EBCF-76C57C4B2C48}"/>
            </a:ext>
          </a:extLst>
        </xdr:cNvPr>
        <xdr:cNvSpPr txBox="1">
          <a:spLocks noChangeArrowheads="1"/>
        </xdr:cNvSpPr>
      </xdr:nvSpPr>
      <xdr:spPr bwMode="auto">
        <a:xfrm>
          <a:off x="542925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68580</xdr:rowOff>
    </xdr:to>
    <xdr:sp macro="" textlink="">
      <xdr:nvSpPr>
        <xdr:cNvPr id="2221" name="Text Box 549">
          <a:extLst>
            <a:ext uri="{FF2B5EF4-FFF2-40B4-BE49-F238E27FC236}">
              <a16:creationId xmlns:a16="http://schemas.microsoft.com/office/drawing/2014/main" id="{EF568FEB-B099-84EF-894F-48B016B9289A}"/>
            </a:ext>
          </a:extLst>
        </xdr:cNvPr>
        <xdr:cNvSpPr txBox="1">
          <a:spLocks noChangeArrowheads="1"/>
        </xdr:cNvSpPr>
      </xdr:nvSpPr>
      <xdr:spPr bwMode="auto">
        <a:xfrm>
          <a:off x="542925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83</xdr:row>
      <xdr:rowOff>0</xdr:rowOff>
    </xdr:from>
    <xdr:to>
      <xdr:col>81</xdr:col>
      <xdr:colOff>0</xdr:colOff>
      <xdr:row>83</xdr:row>
      <xdr:rowOff>0</xdr:rowOff>
    </xdr:to>
    <xdr:sp macro="" textlink="">
      <xdr:nvSpPr>
        <xdr:cNvPr id="606" name="Text Box 550">
          <a:extLst>
            <a:ext uri="{FF2B5EF4-FFF2-40B4-BE49-F238E27FC236}">
              <a16:creationId xmlns:a16="http://schemas.microsoft.com/office/drawing/2014/main" id="{39618A84-D58F-E8B7-44FF-308D31E1D84C}"/>
            </a:ext>
          </a:extLst>
        </xdr:cNvPr>
        <xdr:cNvSpPr txBox="1">
          <a:spLocks noChangeArrowheads="1"/>
        </xdr:cNvSpPr>
      </xdr:nvSpPr>
      <xdr:spPr bwMode="auto">
        <a:xfrm>
          <a:off x="709898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81</xdr:col>
      <xdr:colOff>0</xdr:colOff>
      <xdr:row>87</xdr:row>
      <xdr:rowOff>0</xdr:rowOff>
    </xdr:from>
    <xdr:to>
      <xdr:col>81</xdr:col>
      <xdr:colOff>0</xdr:colOff>
      <xdr:row>87</xdr:row>
      <xdr:rowOff>0</xdr:rowOff>
    </xdr:to>
    <xdr:sp macro="" textlink="">
      <xdr:nvSpPr>
        <xdr:cNvPr id="607" name="Text Box 746">
          <a:extLst>
            <a:ext uri="{FF2B5EF4-FFF2-40B4-BE49-F238E27FC236}">
              <a16:creationId xmlns:a16="http://schemas.microsoft.com/office/drawing/2014/main" id="{F3E75CEF-544C-036D-C1C8-3D47F5164ED7}"/>
            </a:ext>
          </a:extLst>
        </xdr:cNvPr>
        <xdr:cNvSpPr txBox="1">
          <a:spLocks noChangeArrowheads="1"/>
        </xdr:cNvSpPr>
      </xdr:nvSpPr>
      <xdr:spPr bwMode="auto">
        <a:xfrm>
          <a:off x="7098982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81</xdr:col>
      <xdr:colOff>0</xdr:colOff>
      <xdr:row>28</xdr:row>
      <xdr:rowOff>53340</xdr:rowOff>
    </xdr:from>
    <xdr:to>
      <xdr:col>81</xdr:col>
      <xdr:colOff>0</xdr:colOff>
      <xdr:row>29</xdr:row>
      <xdr:rowOff>68580</xdr:rowOff>
    </xdr:to>
    <xdr:sp macro="" textlink="">
      <xdr:nvSpPr>
        <xdr:cNvPr id="2224" name="Text Box 875">
          <a:extLst>
            <a:ext uri="{FF2B5EF4-FFF2-40B4-BE49-F238E27FC236}">
              <a16:creationId xmlns:a16="http://schemas.microsoft.com/office/drawing/2014/main" id="{C29CA656-A984-FAB0-BF26-F5DE65EA3A61}"/>
            </a:ext>
          </a:extLst>
        </xdr:cNvPr>
        <xdr:cNvSpPr txBox="1">
          <a:spLocks noChangeArrowheads="1"/>
        </xdr:cNvSpPr>
      </xdr:nvSpPr>
      <xdr:spPr bwMode="auto">
        <a:xfrm>
          <a:off x="542925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68580</xdr:rowOff>
    </xdr:to>
    <xdr:sp macro="" textlink="">
      <xdr:nvSpPr>
        <xdr:cNvPr id="2225" name="Text Box 876">
          <a:extLst>
            <a:ext uri="{FF2B5EF4-FFF2-40B4-BE49-F238E27FC236}">
              <a16:creationId xmlns:a16="http://schemas.microsoft.com/office/drawing/2014/main" id="{7CCE917D-A62A-52FE-E8BB-0C201BC9F487}"/>
            </a:ext>
          </a:extLst>
        </xdr:cNvPr>
        <xdr:cNvSpPr txBox="1">
          <a:spLocks noChangeArrowheads="1"/>
        </xdr:cNvSpPr>
      </xdr:nvSpPr>
      <xdr:spPr bwMode="auto">
        <a:xfrm>
          <a:off x="542925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68580</xdr:rowOff>
    </xdr:to>
    <xdr:sp macro="" textlink="">
      <xdr:nvSpPr>
        <xdr:cNvPr id="2226" name="Text Box 877">
          <a:extLst>
            <a:ext uri="{FF2B5EF4-FFF2-40B4-BE49-F238E27FC236}">
              <a16:creationId xmlns:a16="http://schemas.microsoft.com/office/drawing/2014/main" id="{DA693489-489A-2E2A-8D67-CD8717C22620}"/>
            </a:ext>
          </a:extLst>
        </xdr:cNvPr>
        <xdr:cNvSpPr txBox="1">
          <a:spLocks noChangeArrowheads="1"/>
        </xdr:cNvSpPr>
      </xdr:nvSpPr>
      <xdr:spPr bwMode="auto">
        <a:xfrm>
          <a:off x="542925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68580</xdr:rowOff>
    </xdr:to>
    <xdr:sp macro="" textlink="">
      <xdr:nvSpPr>
        <xdr:cNvPr id="2227" name="Text Box 878">
          <a:extLst>
            <a:ext uri="{FF2B5EF4-FFF2-40B4-BE49-F238E27FC236}">
              <a16:creationId xmlns:a16="http://schemas.microsoft.com/office/drawing/2014/main" id="{ECF6D404-18AB-18C1-00E8-146B62DE64CA}"/>
            </a:ext>
          </a:extLst>
        </xdr:cNvPr>
        <xdr:cNvSpPr txBox="1">
          <a:spLocks noChangeArrowheads="1"/>
        </xdr:cNvSpPr>
      </xdr:nvSpPr>
      <xdr:spPr bwMode="auto">
        <a:xfrm>
          <a:off x="542925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82</xdr:row>
      <xdr:rowOff>0</xdr:rowOff>
    </xdr:from>
    <xdr:to>
      <xdr:col>81</xdr:col>
      <xdr:colOff>0</xdr:colOff>
      <xdr:row>82</xdr:row>
      <xdr:rowOff>0</xdr:rowOff>
    </xdr:to>
    <xdr:sp macro="" textlink="">
      <xdr:nvSpPr>
        <xdr:cNvPr id="612" name="Text Box 879">
          <a:extLst>
            <a:ext uri="{FF2B5EF4-FFF2-40B4-BE49-F238E27FC236}">
              <a16:creationId xmlns:a16="http://schemas.microsoft.com/office/drawing/2014/main" id="{9E954A66-3E43-5318-4CFF-3D75DACC5927}"/>
            </a:ext>
          </a:extLst>
        </xdr:cNvPr>
        <xdr:cNvSpPr txBox="1">
          <a:spLocks noChangeArrowheads="1"/>
        </xdr:cNvSpPr>
      </xdr:nvSpPr>
      <xdr:spPr bwMode="auto">
        <a:xfrm>
          <a:off x="709707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81</xdr:col>
      <xdr:colOff>0</xdr:colOff>
      <xdr:row>28</xdr:row>
      <xdr:rowOff>53340</xdr:rowOff>
    </xdr:from>
    <xdr:to>
      <xdr:col>81</xdr:col>
      <xdr:colOff>0</xdr:colOff>
      <xdr:row>29</xdr:row>
      <xdr:rowOff>68580</xdr:rowOff>
    </xdr:to>
    <xdr:sp macro="" textlink="">
      <xdr:nvSpPr>
        <xdr:cNvPr id="2229" name="Text Box 880">
          <a:extLst>
            <a:ext uri="{FF2B5EF4-FFF2-40B4-BE49-F238E27FC236}">
              <a16:creationId xmlns:a16="http://schemas.microsoft.com/office/drawing/2014/main" id="{7F1BF1C9-F839-7DC3-77BD-BEACE3ACE098}"/>
            </a:ext>
          </a:extLst>
        </xdr:cNvPr>
        <xdr:cNvSpPr txBox="1">
          <a:spLocks noChangeArrowheads="1"/>
        </xdr:cNvSpPr>
      </xdr:nvSpPr>
      <xdr:spPr bwMode="auto">
        <a:xfrm>
          <a:off x="542925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68580</xdr:rowOff>
    </xdr:to>
    <xdr:sp macro="" textlink="">
      <xdr:nvSpPr>
        <xdr:cNvPr id="2230" name="Text Box 881">
          <a:extLst>
            <a:ext uri="{FF2B5EF4-FFF2-40B4-BE49-F238E27FC236}">
              <a16:creationId xmlns:a16="http://schemas.microsoft.com/office/drawing/2014/main" id="{49D109CD-AE09-64E5-EFC5-707647DA14CF}"/>
            </a:ext>
          </a:extLst>
        </xdr:cNvPr>
        <xdr:cNvSpPr txBox="1">
          <a:spLocks noChangeArrowheads="1"/>
        </xdr:cNvSpPr>
      </xdr:nvSpPr>
      <xdr:spPr bwMode="auto">
        <a:xfrm>
          <a:off x="5429250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83</xdr:row>
      <xdr:rowOff>0</xdr:rowOff>
    </xdr:from>
    <xdr:to>
      <xdr:col>81</xdr:col>
      <xdr:colOff>0</xdr:colOff>
      <xdr:row>83</xdr:row>
      <xdr:rowOff>0</xdr:rowOff>
    </xdr:to>
    <xdr:sp macro="" textlink="">
      <xdr:nvSpPr>
        <xdr:cNvPr id="615" name="Text Box 882">
          <a:extLst>
            <a:ext uri="{FF2B5EF4-FFF2-40B4-BE49-F238E27FC236}">
              <a16:creationId xmlns:a16="http://schemas.microsoft.com/office/drawing/2014/main" id="{CA66F1D5-57B7-19C4-A3A4-FD3C50EA90BD}"/>
            </a:ext>
          </a:extLst>
        </xdr:cNvPr>
        <xdr:cNvSpPr txBox="1">
          <a:spLocks noChangeArrowheads="1"/>
        </xdr:cNvSpPr>
      </xdr:nvSpPr>
      <xdr:spPr bwMode="auto">
        <a:xfrm>
          <a:off x="709898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88</xdr:col>
      <xdr:colOff>0</xdr:colOff>
      <xdr:row>28</xdr:row>
      <xdr:rowOff>53340</xdr:rowOff>
    </xdr:from>
    <xdr:to>
      <xdr:col>88</xdr:col>
      <xdr:colOff>0</xdr:colOff>
      <xdr:row>29</xdr:row>
      <xdr:rowOff>68580</xdr:rowOff>
    </xdr:to>
    <xdr:sp macro="" textlink="">
      <xdr:nvSpPr>
        <xdr:cNvPr id="2232" name="Text Box 449">
          <a:extLst>
            <a:ext uri="{FF2B5EF4-FFF2-40B4-BE49-F238E27FC236}">
              <a16:creationId xmlns:a16="http://schemas.microsoft.com/office/drawing/2014/main" id="{8A19A218-AD8A-CFF2-916B-B92B8A05429F}"/>
            </a:ext>
          </a:extLst>
        </xdr:cNvPr>
        <xdr:cNvSpPr txBox="1">
          <a:spLocks noChangeArrowheads="1"/>
        </xdr:cNvSpPr>
      </xdr:nvSpPr>
      <xdr:spPr bwMode="auto">
        <a:xfrm>
          <a:off x="584530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68580</xdr:rowOff>
    </xdr:to>
    <xdr:sp macro="" textlink="">
      <xdr:nvSpPr>
        <xdr:cNvPr id="2233" name="Text Box 452">
          <a:extLst>
            <a:ext uri="{FF2B5EF4-FFF2-40B4-BE49-F238E27FC236}">
              <a16:creationId xmlns:a16="http://schemas.microsoft.com/office/drawing/2014/main" id="{41EB6B10-D70D-8691-21F5-65EF21ACE30C}"/>
            </a:ext>
          </a:extLst>
        </xdr:cNvPr>
        <xdr:cNvSpPr txBox="1">
          <a:spLocks noChangeArrowheads="1"/>
        </xdr:cNvSpPr>
      </xdr:nvSpPr>
      <xdr:spPr bwMode="auto">
        <a:xfrm>
          <a:off x="584530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68580</xdr:rowOff>
    </xdr:to>
    <xdr:sp macro="" textlink="">
      <xdr:nvSpPr>
        <xdr:cNvPr id="2234" name="Text Box 545">
          <a:extLst>
            <a:ext uri="{FF2B5EF4-FFF2-40B4-BE49-F238E27FC236}">
              <a16:creationId xmlns:a16="http://schemas.microsoft.com/office/drawing/2014/main" id="{15D8286B-B002-D4AD-B6CD-7040B26154E8}"/>
            </a:ext>
          </a:extLst>
        </xdr:cNvPr>
        <xdr:cNvSpPr txBox="1">
          <a:spLocks noChangeArrowheads="1"/>
        </xdr:cNvSpPr>
      </xdr:nvSpPr>
      <xdr:spPr bwMode="auto">
        <a:xfrm>
          <a:off x="584530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68580</xdr:rowOff>
    </xdr:to>
    <xdr:sp macro="" textlink="">
      <xdr:nvSpPr>
        <xdr:cNvPr id="2235" name="Text Box 546">
          <a:extLst>
            <a:ext uri="{FF2B5EF4-FFF2-40B4-BE49-F238E27FC236}">
              <a16:creationId xmlns:a16="http://schemas.microsoft.com/office/drawing/2014/main" id="{238B0A8C-B834-574F-1C08-EB277E5F8F65}"/>
            </a:ext>
          </a:extLst>
        </xdr:cNvPr>
        <xdr:cNvSpPr txBox="1">
          <a:spLocks noChangeArrowheads="1"/>
        </xdr:cNvSpPr>
      </xdr:nvSpPr>
      <xdr:spPr bwMode="auto">
        <a:xfrm>
          <a:off x="584530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82</xdr:row>
      <xdr:rowOff>0</xdr:rowOff>
    </xdr:from>
    <xdr:to>
      <xdr:col>88</xdr:col>
      <xdr:colOff>0</xdr:colOff>
      <xdr:row>82</xdr:row>
      <xdr:rowOff>0</xdr:rowOff>
    </xdr:to>
    <xdr:sp macro="" textlink="">
      <xdr:nvSpPr>
        <xdr:cNvPr id="621" name="Text Box 547">
          <a:extLst>
            <a:ext uri="{FF2B5EF4-FFF2-40B4-BE49-F238E27FC236}">
              <a16:creationId xmlns:a16="http://schemas.microsoft.com/office/drawing/2014/main" id="{F9583596-D679-481C-971C-F4E2F05DA5C0}"/>
            </a:ext>
          </a:extLst>
        </xdr:cNvPr>
        <xdr:cNvSpPr txBox="1">
          <a:spLocks noChangeArrowheads="1"/>
        </xdr:cNvSpPr>
      </xdr:nvSpPr>
      <xdr:spPr bwMode="auto">
        <a:xfrm>
          <a:off x="7873555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88</xdr:col>
      <xdr:colOff>0</xdr:colOff>
      <xdr:row>28</xdr:row>
      <xdr:rowOff>53340</xdr:rowOff>
    </xdr:from>
    <xdr:to>
      <xdr:col>88</xdr:col>
      <xdr:colOff>0</xdr:colOff>
      <xdr:row>29</xdr:row>
      <xdr:rowOff>68580</xdr:rowOff>
    </xdr:to>
    <xdr:sp macro="" textlink="">
      <xdr:nvSpPr>
        <xdr:cNvPr id="2237" name="Text Box 548">
          <a:extLst>
            <a:ext uri="{FF2B5EF4-FFF2-40B4-BE49-F238E27FC236}">
              <a16:creationId xmlns:a16="http://schemas.microsoft.com/office/drawing/2014/main" id="{BA8A2103-D032-DDEB-F6AE-5B56CC0D30C6}"/>
            </a:ext>
          </a:extLst>
        </xdr:cNvPr>
        <xdr:cNvSpPr txBox="1">
          <a:spLocks noChangeArrowheads="1"/>
        </xdr:cNvSpPr>
      </xdr:nvSpPr>
      <xdr:spPr bwMode="auto">
        <a:xfrm>
          <a:off x="584530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68580</xdr:rowOff>
    </xdr:to>
    <xdr:sp macro="" textlink="">
      <xdr:nvSpPr>
        <xdr:cNvPr id="2238" name="Text Box 549">
          <a:extLst>
            <a:ext uri="{FF2B5EF4-FFF2-40B4-BE49-F238E27FC236}">
              <a16:creationId xmlns:a16="http://schemas.microsoft.com/office/drawing/2014/main" id="{EB8ED9EC-C409-FB9E-CDE5-7103ADD97BF5}"/>
            </a:ext>
          </a:extLst>
        </xdr:cNvPr>
        <xdr:cNvSpPr txBox="1">
          <a:spLocks noChangeArrowheads="1"/>
        </xdr:cNvSpPr>
      </xdr:nvSpPr>
      <xdr:spPr bwMode="auto">
        <a:xfrm>
          <a:off x="584530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83</xdr:row>
      <xdr:rowOff>0</xdr:rowOff>
    </xdr:from>
    <xdr:to>
      <xdr:col>88</xdr:col>
      <xdr:colOff>0</xdr:colOff>
      <xdr:row>83</xdr:row>
      <xdr:rowOff>0</xdr:rowOff>
    </xdr:to>
    <xdr:sp macro="" textlink="">
      <xdr:nvSpPr>
        <xdr:cNvPr id="626" name="Text Box 550">
          <a:extLst>
            <a:ext uri="{FF2B5EF4-FFF2-40B4-BE49-F238E27FC236}">
              <a16:creationId xmlns:a16="http://schemas.microsoft.com/office/drawing/2014/main" id="{EFB3B211-0624-AC63-4564-10E53D88D585}"/>
            </a:ext>
          </a:extLst>
        </xdr:cNvPr>
        <xdr:cNvSpPr txBox="1">
          <a:spLocks noChangeArrowheads="1"/>
        </xdr:cNvSpPr>
      </xdr:nvSpPr>
      <xdr:spPr bwMode="auto">
        <a:xfrm>
          <a:off x="7875460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88</xdr:col>
      <xdr:colOff>0</xdr:colOff>
      <xdr:row>87</xdr:row>
      <xdr:rowOff>0</xdr:rowOff>
    </xdr:from>
    <xdr:to>
      <xdr:col>88</xdr:col>
      <xdr:colOff>0</xdr:colOff>
      <xdr:row>87</xdr:row>
      <xdr:rowOff>0</xdr:rowOff>
    </xdr:to>
    <xdr:sp macro="" textlink="">
      <xdr:nvSpPr>
        <xdr:cNvPr id="627" name="Text Box 746">
          <a:extLst>
            <a:ext uri="{FF2B5EF4-FFF2-40B4-BE49-F238E27FC236}">
              <a16:creationId xmlns:a16="http://schemas.microsoft.com/office/drawing/2014/main" id="{985534F4-C27C-1D9E-F8FD-CC48B0DAE0EA}"/>
            </a:ext>
          </a:extLst>
        </xdr:cNvPr>
        <xdr:cNvSpPr txBox="1">
          <a:spLocks noChangeArrowheads="1"/>
        </xdr:cNvSpPr>
      </xdr:nvSpPr>
      <xdr:spPr bwMode="auto">
        <a:xfrm>
          <a:off x="7875460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88</xdr:col>
      <xdr:colOff>0</xdr:colOff>
      <xdr:row>28</xdr:row>
      <xdr:rowOff>53340</xdr:rowOff>
    </xdr:from>
    <xdr:to>
      <xdr:col>88</xdr:col>
      <xdr:colOff>0</xdr:colOff>
      <xdr:row>29</xdr:row>
      <xdr:rowOff>68580</xdr:rowOff>
    </xdr:to>
    <xdr:sp macro="" textlink="">
      <xdr:nvSpPr>
        <xdr:cNvPr id="2241" name="Text Box 875">
          <a:extLst>
            <a:ext uri="{FF2B5EF4-FFF2-40B4-BE49-F238E27FC236}">
              <a16:creationId xmlns:a16="http://schemas.microsoft.com/office/drawing/2014/main" id="{6DE4402C-769E-154C-6DCA-6BB80DD2220C}"/>
            </a:ext>
          </a:extLst>
        </xdr:cNvPr>
        <xdr:cNvSpPr txBox="1">
          <a:spLocks noChangeArrowheads="1"/>
        </xdr:cNvSpPr>
      </xdr:nvSpPr>
      <xdr:spPr bwMode="auto">
        <a:xfrm>
          <a:off x="584530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68580</xdr:rowOff>
    </xdr:to>
    <xdr:sp macro="" textlink="">
      <xdr:nvSpPr>
        <xdr:cNvPr id="2242" name="Text Box 876">
          <a:extLst>
            <a:ext uri="{FF2B5EF4-FFF2-40B4-BE49-F238E27FC236}">
              <a16:creationId xmlns:a16="http://schemas.microsoft.com/office/drawing/2014/main" id="{7EB8D0B9-3CCD-4ED5-8A7B-65CE2227428A}"/>
            </a:ext>
          </a:extLst>
        </xdr:cNvPr>
        <xdr:cNvSpPr txBox="1">
          <a:spLocks noChangeArrowheads="1"/>
        </xdr:cNvSpPr>
      </xdr:nvSpPr>
      <xdr:spPr bwMode="auto">
        <a:xfrm>
          <a:off x="584530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68580</xdr:rowOff>
    </xdr:to>
    <xdr:sp macro="" textlink="">
      <xdr:nvSpPr>
        <xdr:cNvPr id="2243" name="Text Box 877">
          <a:extLst>
            <a:ext uri="{FF2B5EF4-FFF2-40B4-BE49-F238E27FC236}">
              <a16:creationId xmlns:a16="http://schemas.microsoft.com/office/drawing/2014/main" id="{6C1D6E79-7189-B6E6-D94F-FB9A51F4A938}"/>
            </a:ext>
          </a:extLst>
        </xdr:cNvPr>
        <xdr:cNvSpPr txBox="1">
          <a:spLocks noChangeArrowheads="1"/>
        </xdr:cNvSpPr>
      </xdr:nvSpPr>
      <xdr:spPr bwMode="auto">
        <a:xfrm>
          <a:off x="584530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68580</xdr:rowOff>
    </xdr:to>
    <xdr:sp macro="" textlink="">
      <xdr:nvSpPr>
        <xdr:cNvPr id="2244" name="Text Box 878">
          <a:extLst>
            <a:ext uri="{FF2B5EF4-FFF2-40B4-BE49-F238E27FC236}">
              <a16:creationId xmlns:a16="http://schemas.microsoft.com/office/drawing/2014/main" id="{2CB911BE-654A-AA15-6D34-AFFE4E0EE020}"/>
            </a:ext>
          </a:extLst>
        </xdr:cNvPr>
        <xdr:cNvSpPr txBox="1">
          <a:spLocks noChangeArrowheads="1"/>
        </xdr:cNvSpPr>
      </xdr:nvSpPr>
      <xdr:spPr bwMode="auto">
        <a:xfrm>
          <a:off x="584530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82</xdr:row>
      <xdr:rowOff>0</xdr:rowOff>
    </xdr:from>
    <xdr:to>
      <xdr:col>88</xdr:col>
      <xdr:colOff>0</xdr:colOff>
      <xdr:row>82</xdr:row>
      <xdr:rowOff>0</xdr:rowOff>
    </xdr:to>
    <xdr:sp macro="" textlink="">
      <xdr:nvSpPr>
        <xdr:cNvPr id="634" name="Text Box 879">
          <a:extLst>
            <a:ext uri="{FF2B5EF4-FFF2-40B4-BE49-F238E27FC236}">
              <a16:creationId xmlns:a16="http://schemas.microsoft.com/office/drawing/2014/main" id="{20765E62-F6C8-4445-5216-9940F33E6691}"/>
            </a:ext>
          </a:extLst>
        </xdr:cNvPr>
        <xdr:cNvSpPr txBox="1">
          <a:spLocks noChangeArrowheads="1"/>
        </xdr:cNvSpPr>
      </xdr:nvSpPr>
      <xdr:spPr bwMode="auto">
        <a:xfrm>
          <a:off x="7873555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88</xdr:col>
      <xdr:colOff>0</xdr:colOff>
      <xdr:row>28</xdr:row>
      <xdr:rowOff>53340</xdr:rowOff>
    </xdr:from>
    <xdr:to>
      <xdr:col>88</xdr:col>
      <xdr:colOff>0</xdr:colOff>
      <xdr:row>29</xdr:row>
      <xdr:rowOff>68580</xdr:rowOff>
    </xdr:to>
    <xdr:sp macro="" textlink="">
      <xdr:nvSpPr>
        <xdr:cNvPr id="2246" name="Text Box 880">
          <a:extLst>
            <a:ext uri="{FF2B5EF4-FFF2-40B4-BE49-F238E27FC236}">
              <a16:creationId xmlns:a16="http://schemas.microsoft.com/office/drawing/2014/main" id="{D85633F0-884E-678C-F8D0-3EB31B86230F}"/>
            </a:ext>
          </a:extLst>
        </xdr:cNvPr>
        <xdr:cNvSpPr txBox="1">
          <a:spLocks noChangeArrowheads="1"/>
        </xdr:cNvSpPr>
      </xdr:nvSpPr>
      <xdr:spPr bwMode="auto">
        <a:xfrm>
          <a:off x="584530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68580</xdr:rowOff>
    </xdr:to>
    <xdr:sp macro="" textlink="">
      <xdr:nvSpPr>
        <xdr:cNvPr id="2247" name="Text Box 881">
          <a:extLst>
            <a:ext uri="{FF2B5EF4-FFF2-40B4-BE49-F238E27FC236}">
              <a16:creationId xmlns:a16="http://schemas.microsoft.com/office/drawing/2014/main" id="{76CCB89B-D23C-761C-2C3D-5A2B10BAFC7A}"/>
            </a:ext>
          </a:extLst>
        </xdr:cNvPr>
        <xdr:cNvSpPr txBox="1">
          <a:spLocks noChangeArrowheads="1"/>
        </xdr:cNvSpPr>
      </xdr:nvSpPr>
      <xdr:spPr bwMode="auto">
        <a:xfrm>
          <a:off x="58453020" y="37642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83</xdr:row>
      <xdr:rowOff>0</xdr:rowOff>
    </xdr:from>
    <xdr:to>
      <xdr:col>88</xdr:col>
      <xdr:colOff>0</xdr:colOff>
      <xdr:row>83</xdr:row>
      <xdr:rowOff>0</xdr:rowOff>
    </xdr:to>
    <xdr:sp macro="" textlink="">
      <xdr:nvSpPr>
        <xdr:cNvPr id="638" name="Text Box 882">
          <a:extLst>
            <a:ext uri="{FF2B5EF4-FFF2-40B4-BE49-F238E27FC236}">
              <a16:creationId xmlns:a16="http://schemas.microsoft.com/office/drawing/2014/main" id="{931AD903-A677-D0A7-8769-ED61E02ADCE2}"/>
            </a:ext>
          </a:extLst>
        </xdr:cNvPr>
        <xdr:cNvSpPr txBox="1">
          <a:spLocks noChangeArrowheads="1"/>
        </xdr:cNvSpPr>
      </xdr:nvSpPr>
      <xdr:spPr bwMode="auto">
        <a:xfrm>
          <a:off x="7875460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A1E8-A809-4E32-B79A-224274F9823D}">
  <sheetPr transitionEvaluation="1" codeName="Sheet2"/>
  <dimension ref="A1:CR90"/>
  <sheetViews>
    <sheetView showGridLines="0" tabSelected="1" zoomScaleNormal="100" zoomScaleSheetLayoutView="100" workbookViewId="0">
      <pane xSplit="1" ySplit="14" topLeftCell="B15" activePane="bottomRight" state="frozen"/>
      <selection pane="topRight" activeCell="B1" sqref="B1"/>
      <selection pane="bottomLeft" activeCell="A15" sqref="A15"/>
      <selection pane="bottomRight" activeCell="A14" sqref="A14"/>
    </sheetView>
  </sheetViews>
  <sheetFormatPr defaultColWidth="37" defaultRowHeight="13.2" x14ac:dyDescent="0.2"/>
  <cols>
    <col min="1" max="1" width="42.44140625" style="7" customWidth="1"/>
    <col min="2" max="2" width="10.21875" style="8" bestFit="1" customWidth="1"/>
    <col min="3" max="4" width="8.33203125" style="7" bestFit="1" customWidth="1"/>
    <col min="5" max="5" width="7.6640625" style="7" bestFit="1" customWidth="1"/>
    <col min="6" max="6" width="7.88671875" style="7" bestFit="1" customWidth="1"/>
    <col min="7" max="7" width="8.33203125" style="7" bestFit="1" customWidth="1"/>
    <col min="8" max="9" width="9.44140625" style="7" bestFit="1" customWidth="1"/>
    <col min="10" max="10" width="8.44140625" style="8" bestFit="1" customWidth="1"/>
    <col min="11" max="12" width="8.33203125" style="7" bestFit="1" customWidth="1"/>
    <col min="13" max="13" width="10.21875" style="7" bestFit="1" customWidth="1"/>
    <col min="14" max="15" width="9.44140625" style="7" bestFit="1" customWidth="1"/>
    <col min="16" max="16" width="7.6640625" style="7" bestFit="1" customWidth="1"/>
    <col min="17" max="17" width="9.44140625" style="7" bestFit="1" customWidth="1"/>
    <col min="18" max="18" width="9.44140625" style="8" bestFit="1" customWidth="1"/>
    <col min="19" max="20" width="9.44140625" style="7" bestFit="1" customWidth="1"/>
    <col min="21" max="21" width="7.6640625" style="7" bestFit="1" customWidth="1"/>
    <col min="22" max="25" width="9.44140625" style="7" bestFit="1" customWidth="1"/>
    <col min="26" max="26" width="9.44140625" style="8" bestFit="1" customWidth="1"/>
    <col min="27" max="30" width="9.44140625" style="7" bestFit="1" customWidth="1"/>
    <col min="31" max="31" width="9.6640625" style="7" bestFit="1" customWidth="1"/>
    <col min="32" max="33" width="9.44140625" style="7" bestFit="1" customWidth="1"/>
    <col min="34" max="34" width="9.44140625" style="8" bestFit="1" customWidth="1"/>
    <col min="35" max="37" width="9.44140625" style="7" bestFit="1" customWidth="1"/>
    <col min="38" max="38" width="8.109375" style="7" bestFit="1" customWidth="1"/>
    <col min="39" max="39" width="9.44140625" style="7" bestFit="1" customWidth="1"/>
    <col min="40" max="40" width="8.33203125" style="7" bestFit="1" customWidth="1"/>
    <col min="41" max="42" width="7.6640625" style="7" bestFit="1" customWidth="1"/>
    <col min="43" max="43" width="8.44140625" style="8" bestFit="1" customWidth="1"/>
    <col min="44" max="47" width="8.33203125" style="7" bestFit="1" customWidth="1"/>
    <col min="48" max="48" width="7.6640625" style="7" bestFit="1" customWidth="1"/>
    <col min="49" max="49" width="8.6640625" style="7" bestFit="1" customWidth="1"/>
    <col min="50" max="50" width="9.33203125" style="7" bestFit="1" customWidth="1"/>
    <col min="51" max="51" width="8.33203125" style="7" bestFit="1" customWidth="1"/>
    <col min="52" max="52" width="7.109375" style="8" bestFit="1" customWidth="1"/>
    <col min="53" max="53" width="8.33203125" style="7" bestFit="1" customWidth="1"/>
    <col min="54" max="58" width="9.21875" style="7" bestFit="1" customWidth="1"/>
    <col min="59" max="59" width="8.88671875" style="8" bestFit="1" customWidth="1"/>
    <col min="60" max="60" width="9.44140625" style="7" bestFit="1" customWidth="1"/>
    <col min="61" max="62" width="8.33203125" style="7" bestFit="1" customWidth="1"/>
    <col min="63" max="63" width="8.88671875" style="7" bestFit="1" customWidth="1"/>
    <col min="64" max="64" width="13.109375" style="7" bestFit="1" customWidth="1"/>
    <col min="65" max="65" width="11.109375" style="7" bestFit="1" customWidth="1"/>
    <col min="66" max="66" width="12.21875" style="8" bestFit="1" customWidth="1"/>
    <col min="67" max="67" width="10.21875" style="8" bestFit="1" customWidth="1"/>
    <col min="68" max="70" width="9.44140625" style="7" bestFit="1" customWidth="1"/>
    <col min="71" max="71" width="10.21875" style="8" bestFit="1" customWidth="1"/>
    <col min="72" max="73" width="9.44140625" style="7" bestFit="1" customWidth="1"/>
    <col min="74" max="74" width="8.33203125" style="7" bestFit="1" customWidth="1"/>
    <col min="75" max="75" width="8.109375" style="8" bestFit="1" customWidth="1"/>
    <col min="76" max="76" width="9.44140625" style="7" bestFit="1" customWidth="1"/>
    <col min="77" max="77" width="10.21875" style="7" bestFit="1" customWidth="1"/>
    <col min="78" max="78" width="16.21875" style="7" customWidth="1"/>
    <col min="79" max="79" width="16.77734375" style="7" customWidth="1"/>
    <col min="80" max="80" width="17.44140625" style="7" customWidth="1"/>
    <col min="81" max="81" width="7.77734375" style="8" bestFit="1" customWidth="1"/>
    <col min="82" max="82" width="8.33203125" style="7" bestFit="1" customWidth="1"/>
    <col min="83" max="83" width="8.6640625" style="7" bestFit="1" customWidth="1"/>
    <col min="84" max="84" width="9.33203125" style="7" bestFit="1" customWidth="1"/>
    <col min="85" max="86" width="8.33203125" style="7" bestFit="1" customWidth="1"/>
    <col min="87" max="87" width="9.33203125" style="7" bestFit="1" customWidth="1"/>
    <col min="88" max="88" width="8.33203125" style="8" bestFit="1" customWidth="1"/>
    <col min="89" max="89" width="8.33203125" style="7" bestFit="1" customWidth="1"/>
    <col min="90" max="90" width="10.44140625" style="7" bestFit="1" customWidth="1"/>
    <col min="91" max="92" width="8.33203125" style="7" bestFit="1" customWidth="1"/>
    <col min="93" max="93" width="8.44140625" style="7" bestFit="1" customWidth="1"/>
    <col min="94" max="94" width="8" style="7" bestFit="1" customWidth="1"/>
    <col min="95" max="95" width="9" style="7" bestFit="1" customWidth="1"/>
    <col min="96" max="96" width="6.109375" style="7" bestFit="1" customWidth="1"/>
    <col min="97" max="16384" width="37" style="7"/>
  </cols>
  <sheetData>
    <row r="1" spans="1:96" s="12" customFormat="1" x14ac:dyDescent="0.25">
      <c r="A1" s="9" t="s">
        <v>280</v>
      </c>
      <c r="B1" s="11"/>
      <c r="I1" s="10"/>
      <c r="J1" s="11"/>
      <c r="R1" s="11"/>
      <c r="S1" s="9"/>
      <c r="Z1" s="11"/>
      <c r="AC1" s="9"/>
      <c r="AH1" s="11"/>
      <c r="AM1" s="9"/>
      <c r="AQ1" s="11"/>
      <c r="AW1" s="9"/>
      <c r="AZ1" s="11"/>
      <c r="BG1" s="11"/>
      <c r="BH1" s="9"/>
      <c r="BN1" s="11"/>
      <c r="BO1" s="11"/>
      <c r="BS1" s="10"/>
      <c r="BW1" s="11"/>
      <c r="CC1" s="11"/>
      <c r="CJ1" s="11"/>
    </row>
    <row r="2" spans="1:96" s="11" customFormat="1" x14ac:dyDescent="0.25">
      <c r="A2" s="13" t="s">
        <v>281</v>
      </c>
      <c r="C2" s="12"/>
      <c r="D2" s="12"/>
      <c r="E2" s="12"/>
      <c r="F2" s="12"/>
      <c r="G2" s="12"/>
      <c r="H2" s="12"/>
      <c r="I2" s="14"/>
      <c r="K2" s="12"/>
      <c r="L2" s="12"/>
      <c r="M2" s="12"/>
      <c r="N2" s="12"/>
      <c r="O2" s="12"/>
      <c r="P2" s="12"/>
      <c r="Q2" s="12"/>
      <c r="S2" s="13"/>
      <c r="T2" s="12"/>
      <c r="U2" s="12"/>
      <c r="V2" s="12"/>
      <c r="W2" s="12"/>
      <c r="X2" s="12"/>
      <c r="Y2" s="12"/>
      <c r="AA2" s="12"/>
      <c r="AB2" s="12"/>
      <c r="AC2" s="13"/>
      <c r="AD2" s="12"/>
      <c r="AE2" s="12"/>
      <c r="AF2" s="12"/>
      <c r="AG2" s="12"/>
      <c r="AI2" s="12"/>
      <c r="AJ2" s="12"/>
      <c r="AK2" s="12"/>
      <c r="AL2" s="12"/>
      <c r="AM2" s="13"/>
      <c r="AN2" s="12"/>
      <c r="AO2" s="12"/>
      <c r="AP2" s="12"/>
      <c r="AR2" s="12"/>
      <c r="AS2" s="12"/>
      <c r="AT2" s="12"/>
      <c r="AU2" s="12"/>
      <c r="AV2" s="12"/>
      <c r="AW2" s="13"/>
      <c r="AX2" s="12"/>
      <c r="AY2" s="12"/>
      <c r="BA2" s="12"/>
      <c r="BB2" s="12"/>
      <c r="BC2" s="12"/>
      <c r="BD2" s="12"/>
      <c r="BE2" s="12"/>
      <c r="BF2" s="12"/>
      <c r="BH2" s="13"/>
      <c r="BI2" s="12"/>
      <c r="BJ2" s="12"/>
      <c r="BK2" s="12"/>
      <c r="BL2" s="12"/>
      <c r="BM2" s="12"/>
      <c r="BP2" s="12"/>
      <c r="BQ2" s="12"/>
      <c r="BR2" s="12"/>
      <c r="BS2" s="14"/>
      <c r="BT2" s="12"/>
      <c r="BU2" s="12"/>
      <c r="BV2" s="12"/>
      <c r="BX2" s="12"/>
      <c r="BY2" s="12"/>
      <c r="BZ2" s="12"/>
      <c r="CA2" s="12"/>
    </row>
    <row r="3" spans="1:96" s="11" customFormat="1" x14ac:dyDescent="0.25">
      <c r="A3" s="13" t="s">
        <v>305</v>
      </c>
      <c r="C3" s="12"/>
      <c r="D3" s="12"/>
      <c r="E3" s="12"/>
      <c r="F3" s="12"/>
      <c r="G3" s="12"/>
      <c r="H3" s="12"/>
      <c r="I3" s="14"/>
      <c r="K3" s="12"/>
      <c r="L3" s="12"/>
      <c r="M3" s="12"/>
      <c r="N3" s="12"/>
      <c r="O3" s="12"/>
      <c r="P3" s="12"/>
      <c r="Q3" s="12"/>
      <c r="S3" s="13"/>
      <c r="T3" s="12"/>
      <c r="U3" s="12"/>
      <c r="V3" s="12"/>
      <c r="W3" s="12"/>
      <c r="X3" s="12"/>
      <c r="Y3" s="12"/>
      <c r="AA3" s="12"/>
      <c r="AB3" s="12"/>
      <c r="AC3" s="13"/>
      <c r="AD3" s="12"/>
      <c r="AE3" s="12"/>
      <c r="AF3" s="12"/>
      <c r="AG3" s="12"/>
      <c r="AI3" s="12"/>
      <c r="AJ3" s="12"/>
      <c r="AK3" s="12"/>
      <c r="AL3" s="12"/>
      <c r="AM3" s="13"/>
      <c r="AN3" s="12"/>
      <c r="AO3" s="12"/>
      <c r="AP3" s="12"/>
      <c r="AR3" s="12"/>
      <c r="AS3" s="12"/>
      <c r="AT3" s="12"/>
      <c r="AU3" s="12"/>
      <c r="AV3" s="12"/>
      <c r="AW3" s="13"/>
      <c r="AX3" s="12"/>
      <c r="AY3" s="12"/>
      <c r="BA3" s="12"/>
      <c r="BB3" s="12"/>
      <c r="BC3" s="12"/>
      <c r="BD3" s="12"/>
      <c r="BE3" s="12"/>
      <c r="BF3" s="12"/>
      <c r="BH3" s="13"/>
      <c r="BI3" s="12"/>
      <c r="BJ3" s="12"/>
      <c r="BK3" s="12"/>
      <c r="BL3" s="12"/>
      <c r="BM3" s="12"/>
      <c r="BP3" s="12"/>
      <c r="BQ3" s="12"/>
      <c r="BR3" s="12"/>
      <c r="BS3" s="14"/>
      <c r="BT3" s="12"/>
      <c r="BU3" s="12"/>
      <c r="BV3" s="12"/>
      <c r="BX3" s="12"/>
      <c r="BY3" s="12"/>
      <c r="BZ3" s="12"/>
      <c r="CA3" s="12"/>
    </row>
    <row r="4" spans="1:96" s="79" customFormat="1" ht="10.199999999999999" x14ac:dyDescent="0.2">
      <c r="A4" s="80" t="s">
        <v>40</v>
      </c>
      <c r="B4" s="81"/>
      <c r="C4" s="81"/>
      <c r="D4" s="81"/>
      <c r="I4" s="78"/>
      <c r="S4" s="78"/>
      <c r="AC4" s="78"/>
      <c r="AM4" s="78"/>
      <c r="AW4" s="78"/>
      <c r="BH4" s="78"/>
      <c r="BS4" s="78"/>
    </row>
    <row r="5" spans="1:96" s="2" customFormat="1" ht="7.2" thickBot="1" x14ac:dyDescent="0.25">
      <c r="A5" s="1"/>
      <c r="I5" s="1"/>
      <c r="S5" s="1"/>
      <c r="AC5" s="1"/>
      <c r="AM5" s="1"/>
      <c r="AU5" s="3"/>
      <c r="AW5" s="1"/>
      <c r="BH5" s="1"/>
      <c r="BO5" s="4"/>
      <c r="BS5" s="1"/>
      <c r="BU5" s="3"/>
    </row>
    <row r="6" spans="1:96" s="23" customFormat="1" ht="10.8" thickTop="1" x14ac:dyDescent="0.2">
      <c r="A6" s="15"/>
      <c r="B6" s="16"/>
      <c r="C6" s="82" t="s">
        <v>25</v>
      </c>
      <c r="D6" s="83"/>
      <c r="E6" s="83"/>
      <c r="F6" s="84"/>
      <c r="G6" s="17"/>
      <c r="H6" s="18"/>
      <c r="I6" s="85" t="s">
        <v>42</v>
      </c>
      <c r="J6" s="86"/>
      <c r="K6" s="86"/>
      <c r="L6" s="88"/>
      <c r="M6" s="85" t="s">
        <v>10</v>
      </c>
      <c r="N6" s="86"/>
      <c r="O6" s="86"/>
      <c r="P6" s="86"/>
      <c r="Q6" s="86"/>
      <c r="R6" s="86"/>
      <c r="S6" s="86"/>
      <c r="T6" s="86"/>
      <c r="U6" s="86"/>
      <c r="V6" s="86"/>
      <c r="W6" s="86"/>
      <c r="X6" s="86"/>
      <c r="Y6" s="86"/>
      <c r="Z6" s="86"/>
      <c r="AA6" s="86"/>
      <c r="AB6" s="86"/>
      <c r="AC6" s="86"/>
      <c r="AD6" s="86"/>
      <c r="AE6" s="86"/>
      <c r="AF6" s="86"/>
      <c r="AG6" s="88"/>
      <c r="AH6" s="19"/>
      <c r="AI6" s="85" t="s">
        <v>304</v>
      </c>
      <c r="AJ6" s="86"/>
      <c r="AK6" s="86"/>
      <c r="AL6" s="86"/>
      <c r="AM6" s="86"/>
      <c r="AN6" s="86"/>
      <c r="AO6" s="86"/>
      <c r="AP6" s="86"/>
      <c r="AQ6" s="86"/>
      <c r="AR6" s="86"/>
      <c r="AS6" s="86"/>
      <c r="AT6" s="86"/>
      <c r="AU6" s="86"/>
      <c r="AV6" s="86"/>
      <c r="AW6" s="86"/>
      <c r="AX6" s="86"/>
      <c r="AY6" s="86"/>
      <c r="AZ6" s="20"/>
      <c r="BA6" s="85" t="s">
        <v>22</v>
      </c>
      <c r="BB6" s="87"/>
      <c r="BC6" s="87"/>
      <c r="BD6" s="87"/>
      <c r="BE6" s="87"/>
      <c r="BF6" s="87"/>
      <c r="BG6" s="87"/>
      <c r="BH6" s="85" t="s">
        <v>289</v>
      </c>
      <c r="BI6" s="87"/>
      <c r="BJ6" s="87"/>
      <c r="BK6" s="87"/>
      <c r="BL6" s="87"/>
      <c r="BM6" s="87"/>
      <c r="BN6" s="87"/>
      <c r="BO6" s="85" t="s">
        <v>21</v>
      </c>
      <c r="BP6" s="86"/>
      <c r="BQ6" s="86"/>
      <c r="BR6" s="86"/>
      <c r="BS6" s="88"/>
      <c r="BT6" s="85" t="s">
        <v>20</v>
      </c>
      <c r="BU6" s="86"/>
      <c r="BV6" s="86"/>
      <c r="BW6" s="86"/>
      <c r="BX6" s="21"/>
      <c r="BY6" s="19"/>
      <c r="BZ6" s="94" t="s">
        <v>259</v>
      </c>
      <c r="CA6" s="95"/>
      <c r="CB6" s="96"/>
      <c r="CC6" s="22"/>
      <c r="CD6" s="82" t="s">
        <v>19</v>
      </c>
      <c r="CE6" s="83"/>
      <c r="CF6" s="83"/>
      <c r="CG6" s="84"/>
      <c r="CH6" s="82" t="s">
        <v>203</v>
      </c>
      <c r="CI6" s="83"/>
      <c r="CJ6" s="83"/>
      <c r="CK6" s="82" t="s">
        <v>71</v>
      </c>
      <c r="CL6" s="83"/>
      <c r="CM6" s="84"/>
      <c r="CN6" s="82" t="s">
        <v>202</v>
      </c>
      <c r="CO6" s="83"/>
      <c r="CP6" s="83"/>
      <c r="CQ6" s="84"/>
      <c r="CR6" s="22"/>
    </row>
    <row r="7" spans="1:96" s="23" customFormat="1" ht="10.199999999999999" x14ac:dyDescent="0.2">
      <c r="A7" s="15"/>
      <c r="B7" s="24"/>
      <c r="D7" s="18"/>
      <c r="E7" s="25"/>
      <c r="F7" s="25"/>
      <c r="G7" s="17"/>
      <c r="H7" s="26"/>
      <c r="I7" s="24"/>
      <c r="J7" s="15"/>
      <c r="K7" s="27"/>
      <c r="L7" s="27"/>
      <c r="M7" s="24"/>
      <c r="N7" s="27"/>
      <c r="O7" s="27"/>
      <c r="P7" s="27"/>
      <c r="Q7" s="15"/>
      <c r="R7" s="28"/>
      <c r="S7" s="27"/>
      <c r="T7" s="27"/>
      <c r="U7" s="27"/>
      <c r="V7" s="27"/>
      <c r="W7" s="27"/>
      <c r="X7" s="27"/>
      <c r="Y7" s="28"/>
      <c r="Z7" s="29"/>
      <c r="AA7" s="27"/>
      <c r="AB7" s="27"/>
      <c r="AC7" s="27"/>
      <c r="AD7" s="27"/>
      <c r="AE7" s="27"/>
      <c r="AF7" s="27"/>
      <c r="AG7" s="28"/>
      <c r="AH7" s="30"/>
      <c r="AI7" s="89" t="s">
        <v>24</v>
      </c>
      <c r="AJ7" s="92"/>
      <c r="AK7" s="92"/>
      <c r="AL7" s="93"/>
      <c r="AM7" s="89" t="s">
        <v>23</v>
      </c>
      <c r="AN7" s="90"/>
      <c r="AO7" s="90"/>
      <c r="AP7" s="90"/>
      <c r="AQ7" s="90"/>
      <c r="AR7" s="90"/>
      <c r="AS7" s="90"/>
      <c r="AT7" s="90"/>
      <c r="AU7" s="90"/>
      <c r="AV7" s="90"/>
      <c r="AW7" s="90"/>
      <c r="AX7" s="90"/>
      <c r="AY7" s="91"/>
      <c r="AZ7" s="28"/>
      <c r="BA7" s="27"/>
      <c r="BB7" s="27"/>
      <c r="BC7" s="31"/>
      <c r="BD7" s="27"/>
      <c r="BE7" s="27"/>
      <c r="BF7" s="27"/>
      <c r="BG7" s="28"/>
      <c r="BH7" s="24"/>
      <c r="BI7" s="32"/>
      <c r="BJ7" s="24"/>
      <c r="BK7" s="33"/>
      <c r="BM7" s="34"/>
      <c r="BN7" s="32"/>
      <c r="BO7" s="28"/>
      <c r="BP7" s="27"/>
      <c r="BQ7" s="34" t="s">
        <v>60</v>
      </c>
      <c r="BR7" s="27"/>
      <c r="BS7" s="28"/>
      <c r="BT7" s="27"/>
      <c r="BU7" s="27"/>
      <c r="BV7" s="27"/>
      <c r="BW7" s="35" t="s">
        <v>130</v>
      </c>
      <c r="BX7" s="24"/>
      <c r="BY7" s="32"/>
      <c r="BZ7" s="36"/>
      <c r="CA7" s="36"/>
      <c r="CB7" s="36"/>
      <c r="CC7" s="30"/>
      <c r="CD7" s="31"/>
      <c r="CE7" s="31"/>
      <c r="CF7" s="31"/>
      <c r="CG7" s="31"/>
      <c r="CH7" s="31"/>
      <c r="CI7" s="31"/>
      <c r="CJ7" s="29"/>
      <c r="CK7" s="31"/>
      <c r="CL7" s="31"/>
      <c r="CM7" s="31"/>
      <c r="CN7" s="31"/>
      <c r="CO7" s="31"/>
      <c r="CP7" s="31"/>
      <c r="CQ7" s="31"/>
      <c r="CR7" s="30"/>
    </row>
    <row r="8" spans="1:96" s="23" customFormat="1" ht="10.199999999999999" x14ac:dyDescent="0.2">
      <c r="A8" s="15"/>
      <c r="B8" s="37"/>
      <c r="C8" s="38"/>
      <c r="D8" s="37"/>
      <c r="E8" s="37"/>
      <c r="F8" s="37"/>
      <c r="G8" s="37"/>
      <c r="H8" s="38"/>
      <c r="I8" s="37"/>
      <c r="J8" s="39"/>
      <c r="K8" s="37" t="s">
        <v>265</v>
      </c>
      <c r="L8" s="37"/>
      <c r="M8" s="37"/>
      <c r="N8" s="37"/>
      <c r="O8" s="37"/>
      <c r="P8" s="37"/>
      <c r="Q8" s="39"/>
      <c r="R8" s="35"/>
      <c r="S8" s="37"/>
      <c r="T8" s="37"/>
      <c r="U8" s="37"/>
      <c r="V8" s="37"/>
      <c r="W8" s="37"/>
      <c r="X8" s="37"/>
      <c r="Y8" s="35"/>
      <c r="Z8" s="35"/>
      <c r="AA8" s="37"/>
      <c r="AB8" s="37"/>
      <c r="AC8" s="37"/>
      <c r="AD8" s="37" t="s">
        <v>17</v>
      </c>
      <c r="AE8" s="37"/>
      <c r="AF8" s="37"/>
      <c r="AG8" s="35"/>
      <c r="AH8" s="30"/>
      <c r="AI8" s="37"/>
      <c r="AJ8" s="37"/>
      <c r="AK8" s="37"/>
      <c r="AL8" s="34"/>
      <c r="AM8" s="37"/>
      <c r="AN8" s="37"/>
      <c r="AO8" s="37"/>
      <c r="AP8" s="37"/>
      <c r="AQ8" s="35" t="s">
        <v>43</v>
      </c>
      <c r="AR8" s="37"/>
      <c r="AS8" s="37"/>
      <c r="AT8" s="37"/>
      <c r="AU8" s="37"/>
      <c r="AV8" s="37" t="s">
        <v>59</v>
      </c>
      <c r="AW8" s="37"/>
      <c r="AX8" s="37"/>
      <c r="AY8" s="37"/>
      <c r="AZ8" s="35"/>
      <c r="BA8" s="37"/>
      <c r="BB8" s="37"/>
      <c r="BC8" s="37"/>
      <c r="BD8" s="37"/>
      <c r="BE8" s="37"/>
      <c r="BF8" s="37"/>
      <c r="BG8" s="35"/>
      <c r="BH8" s="37"/>
      <c r="BI8" s="35"/>
      <c r="BJ8" s="37"/>
      <c r="BK8" s="37"/>
      <c r="BM8" s="34"/>
      <c r="BN8" s="35" t="s">
        <v>301</v>
      </c>
      <c r="BO8" s="35"/>
      <c r="BP8" s="37"/>
      <c r="BQ8" s="37" t="s">
        <v>85</v>
      </c>
      <c r="BR8" s="37"/>
      <c r="BS8" s="35"/>
      <c r="BT8" s="37"/>
      <c r="BU8" s="37"/>
      <c r="BV8" s="37"/>
      <c r="BW8" s="35" t="s">
        <v>93</v>
      </c>
      <c r="BX8" s="37"/>
      <c r="BY8" s="35"/>
      <c r="BZ8" s="35"/>
      <c r="CA8" s="37"/>
      <c r="CB8" s="35"/>
      <c r="CC8" s="35"/>
      <c r="CD8" s="37"/>
      <c r="CE8" s="37" t="s">
        <v>62</v>
      </c>
      <c r="CF8" s="37"/>
      <c r="CG8" s="37"/>
      <c r="CH8" s="37"/>
      <c r="CI8" s="37"/>
      <c r="CJ8" s="35"/>
      <c r="CK8" s="37"/>
      <c r="CL8" s="37"/>
      <c r="CM8" s="37"/>
      <c r="CN8" s="37"/>
      <c r="CO8" s="37"/>
      <c r="CP8" s="37"/>
      <c r="CQ8" s="37" t="s">
        <v>63</v>
      </c>
      <c r="CR8" s="35"/>
    </row>
    <row r="9" spans="1:96" s="23" customFormat="1" ht="10.199999999999999" x14ac:dyDescent="0.2">
      <c r="A9" s="15" t="s">
        <v>13</v>
      </c>
      <c r="B9" s="37"/>
      <c r="C9" s="38"/>
      <c r="D9" s="37"/>
      <c r="E9" s="37"/>
      <c r="F9" s="37" t="s">
        <v>54</v>
      </c>
      <c r="G9" s="37"/>
      <c r="H9" s="38"/>
      <c r="I9" s="37"/>
      <c r="J9" s="39"/>
      <c r="K9" s="37" t="s">
        <v>266</v>
      </c>
      <c r="L9" s="37"/>
      <c r="M9" s="37"/>
      <c r="N9" s="37"/>
      <c r="O9" s="37" t="s">
        <v>122</v>
      </c>
      <c r="P9" s="37" t="s">
        <v>48</v>
      </c>
      <c r="Q9" s="39"/>
      <c r="R9" s="35" t="s">
        <v>123</v>
      </c>
      <c r="S9" s="37"/>
      <c r="T9" s="37"/>
      <c r="U9" s="37"/>
      <c r="V9" s="37"/>
      <c r="W9" s="37"/>
      <c r="X9" s="37" t="s">
        <v>124</v>
      </c>
      <c r="Y9" s="35"/>
      <c r="Z9" s="35"/>
      <c r="AA9" s="37"/>
      <c r="AB9" s="37"/>
      <c r="AC9" s="37" t="s">
        <v>125</v>
      </c>
      <c r="AD9" s="37" t="s">
        <v>171</v>
      </c>
      <c r="AE9" s="37"/>
      <c r="AF9" s="39"/>
      <c r="AG9" s="35"/>
      <c r="AH9" s="40"/>
      <c r="AI9" s="37"/>
      <c r="AJ9" s="37"/>
      <c r="AK9" s="37"/>
      <c r="AL9" s="41" t="s">
        <v>269</v>
      </c>
      <c r="AM9" s="37"/>
      <c r="AN9" s="37" t="s">
        <v>64</v>
      </c>
      <c r="AO9" s="37"/>
      <c r="AP9" s="37"/>
      <c r="AQ9" s="35" t="s">
        <v>183</v>
      </c>
      <c r="AR9" s="37"/>
      <c r="AS9" s="37"/>
      <c r="AT9" s="37"/>
      <c r="AU9" s="37" t="s">
        <v>65</v>
      </c>
      <c r="AV9" s="37" t="s">
        <v>192</v>
      </c>
      <c r="AW9" s="37"/>
      <c r="AX9" s="37"/>
      <c r="AY9" s="37"/>
      <c r="AZ9" s="35"/>
      <c r="BA9" s="37"/>
      <c r="BB9" s="37"/>
      <c r="BC9" s="37"/>
      <c r="BD9" s="37"/>
      <c r="BE9" s="37"/>
      <c r="BF9" s="39"/>
      <c r="BG9" s="35"/>
      <c r="BH9" s="37"/>
      <c r="BI9" s="35"/>
      <c r="BJ9" s="37" t="s">
        <v>66</v>
      </c>
      <c r="BK9" s="37"/>
      <c r="BL9" s="34" t="s">
        <v>275</v>
      </c>
      <c r="BM9" s="34"/>
      <c r="BN9" s="35" t="s">
        <v>298</v>
      </c>
      <c r="BO9" s="35"/>
      <c r="BP9" s="37"/>
      <c r="BQ9" s="37" t="s">
        <v>86</v>
      </c>
      <c r="BR9" s="37" t="s">
        <v>47</v>
      </c>
      <c r="BS9" s="35" t="s">
        <v>6</v>
      </c>
      <c r="BT9" s="37"/>
      <c r="BU9" s="37"/>
      <c r="BV9" s="37"/>
      <c r="BW9" s="35" t="s">
        <v>94</v>
      </c>
      <c r="BX9" s="37" t="s">
        <v>67</v>
      </c>
      <c r="BY9" s="35" t="s">
        <v>68</v>
      </c>
      <c r="BZ9" s="35"/>
      <c r="CA9" s="37"/>
      <c r="CB9" s="35" t="s">
        <v>69</v>
      </c>
      <c r="CC9" s="35"/>
      <c r="CD9" s="37"/>
      <c r="CE9" s="37" t="s">
        <v>104</v>
      </c>
      <c r="CF9" s="37" t="s">
        <v>12</v>
      </c>
      <c r="CG9" s="37" t="s">
        <v>70</v>
      </c>
      <c r="CH9" s="37"/>
      <c r="CI9" s="37"/>
      <c r="CJ9" s="35" t="s">
        <v>120</v>
      </c>
      <c r="CK9" s="37"/>
      <c r="CL9" s="37"/>
      <c r="CM9" s="37" t="s">
        <v>121</v>
      </c>
      <c r="CN9" s="37"/>
      <c r="CO9" s="37"/>
      <c r="CP9" s="37"/>
      <c r="CQ9" s="37" t="s">
        <v>198</v>
      </c>
      <c r="CR9" s="35"/>
    </row>
    <row r="10" spans="1:96" s="23" customFormat="1" ht="10.199999999999999" x14ac:dyDescent="0.2">
      <c r="A10" s="15"/>
      <c r="B10" s="37"/>
      <c r="C10" s="38"/>
      <c r="D10" s="37"/>
      <c r="E10" s="37"/>
      <c r="F10" s="37" t="s">
        <v>165</v>
      </c>
      <c r="G10" s="37"/>
      <c r="H10" s="38"/>
      <c r="I10" s="37"/>
      <c r="J10" s="39"/>
      <c r="K10" s="37" t="s">
        <v>267</v>
      </c>
      <c r="L10" s="37"/>
      <c r="M10" s="37"/>
      <c r="N10" s="37"/>
      <c r="O10" s="37" t="s">
        <v>50</v>
      </c>
      <c r="P10" s="37" t="s">
        <v>160</v>
      </c>
      <c r="Q10" s="39"/>
      <c r="R10" s="35" t="s">
        <v>58</v>
      </c>
      <c r="S10" s="37"/>
      <c r="T10" s="37"/>
      <c r="U10" s="37" t="s">
        <v>148</v>
      </c>
      <c r="V10" s="37" t="s">
        <v>16</v>
      </c>
      <c r="W10" s="37"/>
      <c r="X10" s="37" t="s">
        <v>50</v>
      </c>
      <c r="Y10" s="35" t="s">
        <v>15</v>
      </c>
      <c r="Z10" s="35"/>
      <c r="AA10" s="37" t="s">
        <v>136</v>
      </c>
      <c r="AB10" s="37"/>
      <c r="AC10" s="37" t="s">
        <v>58</v>
      </c>
      <c r="AD10" s="37" t="s">
        <v>172</v>
      </c>
      <c r="AE10" s="37"/>
      <c r="AF10" s="37" t="s">
        <v>44</v>
      </c>
      <c r="AG10" s="35"/>
      <c r="AH10" s="40" t="s">
        <v>45</v>
      </c>
      <c r="AI10" s="37"/>
      <c r="AJ10" s="37"/>
      <c r="AK10" s="37"/>
      <c r="AL10" s="41" t="s">
        <v>270</v>
      </c>
      <c r="AM10" s="37"/>
      <c r="AN10" s="37" t="s">
        <v>176</v>
      </c>
      <c r="AO10" s="37" t="s">
        <v>44</v>
      </c>
      <c r="AP10" s="37" t="s">
        <v>126</v>
      </c>
      <c r="AQ10" s="35" t="s">
        <v>184</v>
      </c>
      <c r="AR10" s="37" t="s">
        <v>26</v>
      </c>
      <c r="AS10" s="37" t="s">
        <v>127</v>
      </c>
      <c r="AT10" s="37"/>
      <c r="AU10" s="37" t="s">
        <v>50</v>
      </c>
      <c r="AV10" s="37" t="s">
        <v>193</v>
      </c>
      <c r="AW10" s="37"/>
      <c r="AX10" s="37"/>
      <c r="AY10" s="37"/>
      <c r="AZ10" s="35" t="s">
        <v>45</v>
      </c>
      <c r="BA10" s="37"/>
      <c r="BB10" s="37"/>
      <c r="BC10" s="37"/>
      <c r="BD10" s="37" t="s">
        <v>140</v>
      </c>
      <c r="BE10" s="37"/>
      <c r="BF10" s="37" t="s">
        <v>52</v>
      </c>
      <c r="BG10" s="35"/>
      <c r="BH10" s="37"/>
      <c r="BI10" s="35" t="s">
        <v>143</v>
      </c>
      <c r="BJ10" s="37" t="s">
        <v>81</v>
      </c>
      <c r="BK10" s="37"/>
      <c r="BL10" s="34" t="s">
        <v>3</v>
      </c>
      <c r="BM10" s="34" t="s">
        <v>296</v>
      </c>
      <c r="BN10" s="35" t="s">
        <v>299</v>
      </c>
      <c r="BO10" s="35"/>
      <c r="BP10" s="37"/>
      <c r="BQ10" s="37" t="s">
        <v>4</v>
      </c>
      <c r="BR10" s="37" t="s">
        <v>89</v>
      </c>
      <c r="BS10" s="35" t="s">
        <v>7</v>
      </c>
      <c r="BT10" s="37"/>
      <c r="BU10" s="37"/>
      <c r="BV10" s="37" t="s">
        <v>129</v>
      </c>
      <c r="BW10" s="35" t="s">
        <v>95</v>
      </c>
      <c r="BX10" s="37" t="s">
        <v>96</v>
      </c>
      <c r="BY10" s="35" t="s">
        <v>131</v>
      </c>
      <c r="BZ10" s="35"/>
      <c r="CA10" s="37"/>
      <c r="CB10" s="35" t="s">
        <v>102</v>
      </c>
      <c r="CC10" s="35"/>
      <c r="CD10" s="37"/>
      <c r="CE10" s="37" t="s">
        <v>105</v>
      </c>
      <c r="CF10" s="37" t="s">
        <v>104</v>
      </c>
      <c r="CG10" s="37" t="s">
        <v>111</v>
      </c>
      <c r="CH10" s="37"/>
      <c r="CI10" s="37" t="s">
        <v>114</v>
      </c>
      <c r="CJ10" s="35" t="s">
        <v>117</v>
      </c>
      <c r="CK10" s="37"/>
      <c r="CL10" s="37"/>
      <c r="CM10" s="37" t="s">
        <v>84</v>
      </c>
      <c r="CN10" s="37"/>
      <c r="CO10" s="37"/>
      <c r="CP10" s="37"/>
      <c r="CQ10" s="37" t="s">
        <v>199</v>
      </c>
      <c r="CR10" s="35"/>
    </row>
    <row r="11" spans="1:96" s="23" customFormat="1" ht="10.199999999999999" x14ac:dyDescent="0.2">
      <c r="A11" s="15" t="s">
        <v>53</v>
      </c>
      <c r="B11" s="37" t="s">
        <v>14</v>
      </c>
      <c r="C11" s="38" t="s">
        <v>149</v>
      </c>
      <c r="D11" s="37" t="s">
        <v>55</v>
      </c>
      <c r="E11" s="37" t="s">
        <v>56</v>
      </c>
      <c r="F11" s="37" t="s">
        <v>28</v>
      </c>
      <c r="G11" s="37" t="s">
        <v>41</v>
      </c>
      <c r="H11" s="38" t="s">
        <v>57</v>
      </c>
      <c r="I11" s="37" t="s">
        <v>149</v>
      </c>
      <c r="J11" s="39" t="s">
        <v>42</v>
      </c>
      <c r="K11" s="37" t="s">
        <v>155</v>
      </c>
      <c r="L11" s="37" t="s">
        <v>268</v>
      </c>
      <c r="M11" s="37" t="s">
        <v>149</v>
      </c>
      <c r="N11" s="37" t="s">
        <v>121</v>
      </c>
      <c r="O11" s="37" t="s">
        <v>158</v>
      </c>
      <c r="P11" s="37" t="s">
        <v>161</v>
      </c>
      <c r="Q11" s="39" t="s">
        <v>132</v>
      </c>
      <c r="R11" s="35" t="s">
        <v>163</v>
      </c>
      <c r="S11" s="37" t="s">
        <v>133</v>
      </c>
      <c r="T11" s="37" t="s">
        <v>134</v>
      </c>
      <c r="U11" s="37" t="s">
        <v>9</v>
      </c>
      <c r="V11" s="37" t="s">
        <v>166</v>
      </c>
      <c r="W11" s="37" t="s">
        <v>135</v>
      </c>
      <c r="X11" s="37" t="s">
        <v>167</v>
      </c>
      <c r="Y11" s="35" t="s">
        <v>168</v>
      </c>
      <c r="Z11" s="35" t="s">
        <v>49</v>
      </c>
      <c r="AA11" s="37" t="s">
        <v>169</v>
      </c>
      <c r="AB11" s="37" t="s">
        <v>137</v>
      </c>
      <c r="AC11" s="37" t="s">
        <v>170</v>
      </c>
      <c r="AD11" s="37" t="s">
        <v>50</v>
      </c>
      <c r="AE11" s="37" t="s">
        <v>18</v>
      </c>
      <c r="AF11" s="37" t="s">
        <v>9</v>
      </c>
      <c r="AG11" s="35" t="s">
        <v>12</v>
      </c>
      <c r="AH11" s="40" t="s">
        <v>58</v>
      </c>
      <c r="AI11" s="37" t="s">
        <v>149</v>
      </c>
      <c r="AJ11" s="37" t="s">
        <v>261</v>
      </c>
      <c r="AK11" s="37" t="s">
        <v>262</v>
      </c>
      <c r="AL11" s="42" t="s">
        <v>58</v>
      </c>
      <c r="AM11" s="37" t="s">
        <v>149</v>
      </c>
      <c r="AN11" s="37" t="s">
        <v>177</v>
      </c>
      <c r="AO11" s="37" t="s">
        <v>179</v>
      </c>
      <c r="AP11" s="37" t="s">
        <v>50</v>
      </c>
      <c r="AQ11" s="35" t="s">
        <v>173</v>
      </c>
      <c r="AR11" s="37" t="s">
        <v>186</v>
      </c>
      <c r="AS11" s="37" t="s">
        <v>187</v>
      </c>
      <c r="AT11" s="37" t="s">
        <v>138</v>
      </c>
      <c r="AU11" s="37" t="s">
        <v>190</v>
      </c>
      <c r="AV11" s="37" t="s">
        <v>194</v>
      </c>
      <c r="AW11" s="37" t="s">
        <v>11</v>
      </c>
      <c r="AX11" s="37" t="s">
        <v>12</v>
      </c>
      <c r="AY11" s="37" t="s">
        <v>139</v>
      </c>
      <c r="AZ11" s="35" t="s">
        <v>1</v>
      </c>
      <c r="BA11" s="37" t="s">
        <v>149</v>
      </c>
      <c r="BB11" s="37" t="s">
        <v>76</v>
      </c>
      <c r="BC11" s="37" t="s">
        <v>29</v>
      </c>
      <c r="BD11" s="37" t="s">
        <v>78</v>
      </c>
      <c r="BE11" s="37" t="s">
        <v>141</v>
      </c>
      <c r="BF11" s="37" t="s">
        <v>27</v>
      </c>
      <c r="BG11" s="35" t="s">
        <v>142</v>
      </c>
      <c r="BH11" s="37" t="s">
        <v>149</v>
      </c>
      <c r="BI11" s="35" t="s">
        <v>150</v>
      </c>
      <c r="BJ11" s="37" t="s">
        <v>82</v>
      </c>
      <c r="BK11" s="39" t="s">
        <v>128</v>
      </c>
      <c r="BL11" s="34" t="s">
        <v>293</v>
      </c>
      <c r="BM11" s="41" t="s">
        <v>297</v>
      </c>
      <c r="BN11" s="35" t="s">
        <v>300</v>
      </c>
      <c r="BO11" s="35" t="s">
        <v>149</v>
      </c>
      <c r="BP11" s="37" t="s">
        <v>46</v>
      </c>
      <c r="BQ11" s="37" t="s">
        <v>5</v>
      </c>
      <c r="BR11" s="37" t="s">
        <v>58</v>
      </c>
      <c r="BS11" s="35" t="s">
        <v>87</v>
      </c>
      <c r="BT11" s="37" t="s">
        <v>149</v>
      </c>
      <c r="BU11" s="37" t="s">
        <v>91</v>
      </c>
      <c r="BV11" s="37" t="s">
        <v>58</v>
      </c>
      <c r="BW11" s="23" t="s">
        <v>2</v>
      </c>
      <c r="BX11" s="37" t="s">
        <v>50</v>
      </c>
      <c r="BY11" s="35" t="s">
        <v>98</v>
      </c>
      <c r="BZ11" s="35" t="s">
        <v>149</v>
      </c>
      <c r="CA11" s="37" t="s">
        <v>61</v>
      </c>
      <c r="CB11" s="35" t="s">
        <v>50</v>
      </c>
      <c r="CC11" s="35" t="s">
        <v>144</v>
      </c>
      <c r="CD11" s="37" t="s">
        <v>149</v>
      </c>
      <c r="CE11" s="37" t="s">
        <v>58</v>
      </c>
      <c r="CF11" s="37" t="s">
        <v>108</v>
      </c>
      <c r="CG11" s="37" t="s">
        <v>112</v>
      </c>
      <c r="CH11" s="37" t="s">
        <v>149</v>
      </c>
      <c r="CI11" s="37" t="s">
        <v>115</v>
      </c>
      <c r="CJ11" s="35" t="s">
        <v>50</v>
      </c>
      <c r="CK11" s="37" t="s">
        <v>149</v>
      </c>
      <c r="CL11" s="37" t="s">
        <v>145</v>
      </c>
      <c r="CM11" s="37" t="s">
        <v>58</v>
      </c>
      <c r="CN11" s="37" t="s">
        <v>149</v>
      </c>
      <c r="CO11" s="37" t="s">
        <v>146</v>
      </c>
      <c r="CP11" s="37" t="s">
        <v>51</v>
      </c>
      <c r="CQ11" s="37" t="s">
        <v>200</v>
      </c>
      <c r="CR11" s="35" t="s">
        <v>147</v>
      </c>
    </row>
    <row r="12" spans="1:96" s="23" customFormat="1" ht="10.199999999999999" x14ac:dyDescent="0.2">
      <c r="A12" s="15"/>
      <c r="B12" s="37" t="s">
        <v>150</v>
      </c>
      <c r="C12" s="38"/>
      <c r="D12" s="37" t="s">
        <v>151</v>
      </c>
      <c r="E12" s="37" t="s">
        <v>58</v>
      </c>
      <c r="F12" s="37" t="s">
        <v>153</v>
      </c>
      <c r="G12" s="37"/>
      <c r="H12" s="38"/>
      <c r="I12" s="37"/>
      <c r="J12" s="39" t="s">
        <v>263</v>
      </c>
      <c r="K12" s="37" t="s">
        <v>283</v>
      </c>
      <c r="L12" s="37" t="s">
        <v>156</v>
      </c>
      <c r="M12" s="37"/>
      <c r="N12" s="37" t="s">
        <v>30</v>
      </c>
      <c r="O12" s="37" t="s">
        <v>162</v>
      </c>
      <c r="P12" s="37" t="s">
        <v>162</v>
      </c>
      <c r="Q12" s="35" t="s">
        <v>30</v>
      </c>
      <c r="R12" s="35" t="s">
        <v>162</v>
      </c>
      <c r="S12" s="37" t="s">
        <v>162</v>
      </c>
      <c r="T12" s="37" t="s">
        <v>30</v>
      </c>
      <c r="U12" s="37" t="s">
        <v>164</v>
      </c>
      <c r="V12" s="37" t="s">
        <v>32</v>
      </c>
      <c r="W12" s="37" t="s">
        <v>30</v>
      </c>
      <c r="X12" s="37" t="s">
        <v>32</v>
      </c>
      <c r="Y12" s="35" t="s">
        <v>162</v>
      </c>
      <c r="Z12" s="35" t="s">
        <v>169</v>
      </c>
      <c r="AA12" s="37" t="s">
        <v>162</v>
      </c>
      <c r="AB12" s="37" t="s">
        <v>30</v>
      </c>
      <c r="AC12" s="37" t="s">
        <v>162</v>
      </c>
      <c r="AD12" s="37" t="s">
        <v>31</v>
      </c>
      <c r="AE12" s="37" t="s">
        <v>173</v>
      </c>
      <c r="AF12" s="37" t="s">
        <v>162</v>
      </c>
      <c r="AG12" s="35" t="s">
        <v>30</v>
      </c>
      <c r="AH12" s="40" t="s">
        <v>272</v>
      </c>
      <c r="AI12" s="37"/>
      <c r="AJ12" s="37" t="s">
        <v>175</v>
      </c>
      <c r="AK12" s="37" t="s">
        <v>175</v>
      </c>
      <c r="AL12" s="34" t="s">
        <v>273</v>
      </c>
      <c r="AM12" s="37"/>
      <c r="AN12" s="37" t="s">
        <v>178</v>
      </c>
      <c r="AO12" s="37" t="s">
        <v>180</v>
      </c>
      <c r="AP12" s="37" t="s">
        <v>182</v>
      </c>
      <c r="AQ12" s="35" t="s">
        <v>185</v>
      </c>
      <c r="AR12" s="37" t="s">
        <v>38</v>
      </c>
      <c r="AS12" s="37" t="s">
        <v>188</v>
      </c>
      <c r="AT12" s="37" t="s">
        <v>189</v>
      </c>
      <c r="AU12" s="37" t="s">
        <v>191</v>
      </c>
      <c r="AV12" s="37" t="s">
        <v>195</v>
      </c>
      <c r="AW12" s="37" t="s">
        <v>72</v>
      </c>
      <c r="AX12" s="37" t="s">
        <v>73</v>
      </c>
      <c r="AY12" s="37" t="s">
        <v>74</v>
      </c>
      <c r="AZ12" s="35" t="s">
        <v>0</v>
      </c>
      <c r="BA12" s="37"/>
      <c r="BB12" s="37" t="s">
        <v>77</v>
      </c>
      <c r="BC12" s="37" t="s">
        <v>27</v>
      </c>
      <c r="BD12" s="37" t="s">
        <v>79</v>
      </c>
      <c r="BE12" s="37" t="s">
        <v>27</v>
      </c>
      <c r="BF12" s="37" t="s">
        <v>101</v>
      </c>
      <c r="BG12" s="35" t="s">
        <v>50</v>
      </c>
      <c r="BH12" s="37"/>
      <c r="BI12" s="43" t="s">
        <v>2</v>
      </c>
      <c r="BJ12" s="37" t="s">
        <v>83</v>
      </c>
      <c r="BK12" s="39" t="s">
        <v>2</v>
      </c>
      <c r="BL12" s="34" t="s">
        <v>294</v>
      </c>
      <c r="BM12" s="34" t="s">
        <v>174</v>
      </c>
      <c r="BN12" s="35" t="s">
        <v>302</v>
      </c>
      <c r="BO12" s="35"/>
      <c r="BP12" s="37" t="s">
        <v>274</v>
      </c>
      <c r="BQ12" s="37" t="s">
        <v>9</v>
      </c>
      <c r="BR12" s="37" t="s">
        <v>174</v>
      </c>
      <c r="BS12" s="35" t="s">
        <v>88</v>
      </c>
      <c r="BT12" s="37"/>
      <c r="BU12" s="37"/>
      <c r="BV12" s="37" t="s">
        <v>92</v>
      </c>
      <c r="BW12" s="23" t="s">
        <v>287</v>
      </c>
      <c r="BX12" s="37" t="s">
        <v>97</v>
      </c>
      <c r="BY12" s="35" t="s">
        <v>99</v>
      </c>
      <c r="BZ12" s="35"/>
      <c r="CA12" s="37" t="s">
        <v>101</v>
      </c>
      <c r="CB12" s="35" t="s">
        <v>103</v>
      </c>
      <c r="CC12" s="35" t="s">
        <v>84</v>
      </c>
      <c r="CD12" s="37"/>
      <c r="CE12" s="37" t="s">
        <v>106</v>
      </c>
      <c r="CF12" s="37" t="s">
        <v>109</v>
      </c>
      <c r="CG12" s="37" t="s">
        <v>188</v>
      </c>
      <c r="CH12" s="37"/>
      <c r="CI12" s="37" t="s">
        <v>58</v>
      </c>
      <c r="CJ12" s="35" t="s">
        <v>116</v>
      </c>
      <c r="CK12" s="37"/>
      <c r="CL12" s="37"/>
      <c r="CM12" s="37" t="s">
        <v>118</v>
      </c>
      <c r="CN12" s="37"/>
      <c r="CO12" s="37" t="s">
        <v>196</v>
      </c>
      <c r="CP12" s="37" t="s">
        <v>197</v>
      </c>
      <c r="CQ12" s="37" t="s">
        <v>39</v>
      </c>
      <c r="CR12" s="35" t="s">
        <v>75</v>
      </c>
    </row>
    <row r="13" spans="1:96" s="23" customFormat="1" ht="10.199999999999999" x14ac:dyDescent="0.2">
      <c r="A13" s="15"/>
      <c r="B13" s="37"/>
      <c r="C13" s="38"/>
      <c r="D13" s="37"/>
      <c r="E13" s="37" t="s">
        <v>152</v>
      </c>
      <c r="F13" s="37" t="s">
        <v>154</v>
      </c>
      <c r="G13" s="37"/>
      <c r="H13" s="38"/>
      <c r="I13" s="37"/>
      <c r="J13" s="39" t="s">
        <v>264</v>
      </c>
      <c r="K13" s="37" t="s">
        <v>284</v>
      </c>
      <c r="L13" s="44" t="s">
        <v>157</v>
      </c>
      <c r="M13" s="44"/>
      <c r="N13" s="44"/>
      <c r="O13" s="37" t="s">
        <v>30</v>
      </c>
      <c r="P13" s="44" t="s">
        <v>159</v>
      </c>
      <c r="Q13" s="39"/>
      <c r="R13" s="35" t="s">
        <v>30</v>
      </c>
      <c r="S13" s="37" t="s">
        <v>30</v>
      </c>
      <c r="T13" s="37"/>
      <c r="U13" s="37" t="s">
        <v>165</v>
      </c>
      <c r="V13" s="37" t="s">
        <v>30</v>
      </c>
      <c r="W13" s="37"/>
      <c r="X13" s="37" t="s">
        <v>30</v>
      </c>
      <c r="Y13" s="45" t="s">
        <v>30</v>
      </c>
      <c r="Z13" s="35" t="s">
        <v>30</v>
      </c>
      <c r="AA13" s="37" t="s">
        <v>30</v>
      </c>
      <c r="AB13" s="37"/>
      <c r="AC13" s="37" t="s">
        <v>30</v>
      </c>
      <c r="AD13" s="37" t="s">
        <v>30</v>
      </c>
      <c r="AE13" s="37" t="s">
        <v>30</v>
      </c>
      <c r="AF13" s="37" t="s">
        <v>30</v>
      </c>
      <c r="AG13" s="35"/>
      <c r="AH13" s="46" t="s">
        <v>285</v>
      </c>
      <c r="AI13" s="37"/>
      <c r="AJ13" s="47"/>
      <c r="AK13" s="48"/>
      <c r="AL13" s="41" t="s">
        <v>271</v>
      </c>
      <c r="AM13" s="37"/>
      <c r="AN13" s="37" t="s">
        <v>177</v>
      </c>
      <c r="AO13" s="37" t="s">
        <v>181</v>
      </c>
      <c r="AP13" s="37" t="s">
        <v>181</v>
      </c>
      <c r="AQ13" s="35" t="s">
        <v>177</v>
      </c>
      <c r="AR13" s="37" t="s">
        <v>181</v>
      </c>
      <c r="AS13" s="37" t="s">
        <v>181</v>
      </c>
      <c r="AT13" s="37"/>
      <c r="AU13" s="37" t="s">
        <v>181</v>
      </c>
      <c r="AV13" s="37" t="s">
        <v>181</v>
      </c>
      <c r="AW13" s="37" t="s">
        <v>181</v>
      </c>
      <c r="AX13" s="37" t="s">
        <v>74</v>
      </c>
      <c r="AY13" s="37"/>
      <c r="AZ13" s="35" t="s">
        <v>75</v>
      </c>
      <c r="BA13" s="37"/>
      <c r="BB13" s="37" t="s">
        <v>27</v>
      </c>
      <c r="BC13" s="37"/>
      <c r="BD13" s="37" t="s">
        <v>27</v>
      </c>
      <c r="BE13" s="37"/>
      <c r="BF13" s="37" t="s">
        <v>165</v>
      </c>
      <c r="BG13" s="35" t="s">
        <v>80</v>
      </c>
      <c r="BH13" s="37"/>
      <c r="BI13" s="35" t="s">
        <v>286</v>
      </c>
      <c r="BJ13" s="37" t="s">
        <v>150</v>
      </c>
      <c r="BK13" s="37" t="s">
        <v>286</v>
      </c>
      <c r="BL13" s="34" t="s">
        <v>295</v>
      </c>
      <c r="BM13" s="34" t="s">
        <v>84</v>
      </c>
      <c r="BN13" s="35" t="s">
        <v>303</v>
      </c>
      <c r="BO13" s="35"/>
      <c r="BP13" s="37"/>
      <c r="BQ13" s="37" t="s">
        <v>165</v>
      </c>
      <c r="BR13" s="37" t="s">
        <v>165</v>
      </c>
      <c r="BS13" s="35" t="s">
        <v>90</v>
      </c>
      <c r="BT13" s="37"/>
      <c r="BU13" s="37"/>
      <c r="BV13" s="37" t="s">
        <v>84</v>
      </c>
      <c r="BW13" s="23" t="s">
        <v>288</v>
      </c>
      <c r="BX13" s="37" t="s">
        <v>84</v>
      </c>
      <c r="BY13" s="35" t="s">
        <v>100</v>
      </c>
      <c r="BZ13" s="35"/>
      <c r="CA13" s="37" t="s">
        <v>84</v>
      </c>
      <c r="CB13" s="35" t="s">
        <v>84</v>
      </c>
      <c r="CC13" s="35"/>
      <c r="CD13" s="37"/>
      <c r="CE13" s="37" t="s">
        <v>107</v>
      </c>
      <c r="CF13" s="37" t="s">
        <v>110</v>
      </c>
      <c r="CG13" s="37" t="s">
        <v>113</v>
      </c>
      <c r="CH13" s="37"/>
      <c r="CI13" s="37" t="s">
        <v>116</v>
      </c>
      <c r="CJ13" s="35" t="s">
        <v>150</v>
      </c>
      <c r="CK13" s="37"/>
      <c r="CL13" s="37"/>
      <c r="CM13" s="37" t="s">
        <v>119</v>
      </c>
      <c r="CN13" s="37"/>
      <c r="CO13" s="37"/>
      <c r="CP13" s="37" t="s">
        <v>84</v>
      </c>
      <c r="CQ13" s="37" t="s">
        <v>201</v>
      </c>
      <c r="CR13" s="35"/>
    </row>
    <row r="14" spans="1:96" s="54" customFormat="1" ht="10.199999999999999" x14ac:dyDescent="0.2">
      <c r="A14" s="49"/>
      <c r="B14" s="50">
        <v>1</v>
      </c>
      <c r="C14" s="51">
        <v>2</v>
      </c>
      <c r="D14" s="50">
        <v>3</v>
      </c>
      <c r="E14" s="52">
        <v>4</v>
      </c>
      <c r="F14" s="52">
        <v>5</v>
      </c>
      <c r="G14" s="50">
        <v>6</v>
      </c>
      <c r="H14" s="50">
        <v>7</v>
      </c>
      <c r="I14" s="52">
        <v>8</v>
      </c>
      <c r="J14" s="52">
        <v>9</v>
      </c>
      <c r="K14" s="50">
        <v>10</v>
      </c>
      <c r="L14" s="50">
        <v>11</v>
      </c>
      <c r="M14" s="50">
        <v>12</v>
      </c>
      <c r="N14" s="50">
        <v>13</v>
      </c>
      <c r="O14" s="50">
        <v>14</v>
      </c>
      <c r="P14" s="50">
        <v>15</v>
      </c>
      <c r="Q14" s="52">
        <v>16</v>
      </c>
      <c r="R14" s="52">
        <v>17</v>
      </c>
      <c r="S14" s="50">
        <v>18</v>
      </c>
      <c r="T14" s="50">
        <v>19</v>
      </c>
      <c r="U14" s="50">
        <v>20</v>
      </c>
      <c r="V14" s="50">
        <v>21</v>
      </c>
      <c r="W14" s="50">
        <v>22</v>
      </c>
      <c r="X14" s="50">
        <v>23</v>
      </c>
      <c r="Y14" s="52">
        <v>24</v>
      </c>
      <c r="Z14" s="52">
        <v>25</v>
      </c>
      <c r="AA14" s="50">
        <v>26</v>
      </c>
      <c r="AB14" s="50">
        <v>27</v>
      </c>
      <c r="AC14" s="50">
        <v>28</v>
      </c>
      <c r="AD14" s="50">
        <v>29</v>
      </c>
      <c r="AE14" s="50">
        <v>30</v>
      </c>
      <c r="AF14" s="50">
        <v>31</v>
      </c>
      <c r="AG14" s="52">
        <v>32</v>
      </c>
      <c r="AH14" s="52">
        <v>33</v>
      </c>
      <c r="AI14" s="50">
        <v>34</v>
      </c>
      <c r="AJ14" s="50">
        <v>35</v>
      </c>
      <c r="AK14" s="50">
        <v>36</v>
      </c>
      <c r="AL14" s="50">
        <v>37</v>
      </c>
      <c r="AM14" s="50">
        <v>38</v>
      </c>
      <c r="AN14" s="50">
        <v>39</v>
      </c>
      <c r="AO14" s="50">
        <v>40</v>
      </c>
      <c r="AP14" s="52">
        <v>41</v>
      </c>
      <c r="AQ14" s="52">
        <v>42</v>
      </c>
      <c r="AR14" s="50">
        <v>43</v>
      </c>
      <c r="AS14" s="50">
        <v>44</v>
      </c>
      <c r="AT14" s="50">
        <v>45</v>
      </c>
      <c r="AU14" s="50">
        <v>46</v>
      </c>
      <c r="AV14" s="50">
        <v>47</v>
      </c>
      <c r="AW14" s="50">
        <v>48</v>
      </c>
      <c r="AX14" s="50">
        <v>49</v>
      </c>
      <c r="AY14" s="52">
        <v>50</v>
      </c>
      <c r="AZ14" s="52">
        <v>51</v>
      </c>
      <c r="BA14" s="50">
        <v>52</v>
      </c>
      <c r="BB14" s="50">
        <v>53</v>
      </c>
      <c r="BC14" s="50">
        <v>54</v>
      </c>
      <c r="BD14" s="50">
        <v>55</v>
      </c>
      <c r="BE14" s="50">
        <v>56</v>
      </c>
      <c r="BF14" s="50">
        <v>57</v>
      </c>
      <c r="BG14" s="52">
        <v>58</v>
      </c>
      <c r="BH14" s="52">
        <v>59</v>
      </c>
      <c r="BI14" s="50">
        <v>60</v>
      </c>
      <c r="BJ14" s="50">
        <v>61</v>
      </c>
      <c r="BK14" s="50">
        <v>62</v>
      </c>
      <c r="BL14" s="53">
        <v>63</v>
      </c>
      <c r="BM14" s="53">
        <v>64</v>
      </c>
      <c r="BN14" s="52">
        <v>65</v>
      </c>
      <c r="BO14" s="52">
        <v>66</v>
      </c>
      <c r="BP14" s="52">
        <f>BO14+1</f>
        <v>67</v>
      </c>
      <c r="BQ14" s="52">
        <f t="shared" ref="BQ14:BW14" si="0">BP14+1</f>
        <v>68</v>
      </c>
      <c r="BR14" s="52">
        <f t="shared" si="0"/>
        <v>69</v>
      </c>
      <c r="BS14" s="52">
        <f t="shared" si="0"/>
        <v>70</v>
      </c>
      <c r="BT14" s="52">
        <f t="shared" si="0"/>
        <v>71</v>
      </c>
      <c r="BU14" s="52">
        <f t="shared" si="0"/>
        <v>72</v>
      </c>
      <c r="BV14" s="52">
        <f t="shared" si="0"/>
        <v>73</v>
      </c>
      <c r="BW14" s="52">
        <f t="shared" si="0"/>
        <v>74</v>
      </c>
      <c r="BX14" s="52">
        <f t="shared" ref="BX14:CC14" si="1">BW14+1</f>
        <v>75</v>
      </c>
      <c r="BY14" s="52">
        <f t="shared" si="1"/>
        <v>76</v>
      </c>
      <c r="BZ14" s="52">
        <f t="shared" si="1"/>
        <v>77</v>
      </c>
      <c r="CA14" s="52">
        <f t="shared" si="1"/>
        <v>78</v>
      </c>
      <c r="CB14" s="52">
        <f t="shared" si="1"/>
        <v>79</v>
      </c>
      <c r="CC14" s="52">
        <f t="shared" si="1"/>
        <v>80</v>
      </c>
      <c r="CD14" s="50">
        <f>CC14 +1</f>
        <v>81</v>
      </c>
      <c r="CE14" s="50">
        <f t="shared" ref="CE14:CJ14" si="2">CD14 +1</f>
        <v>82</v>
      </c>
      <c r="CF14" s="50">
        <f t="shared" si="2"/>
        <v>83</v>
      </c>
      <c r="CG14" s="50">
        <f t="shared" si="2"/>
        <v>84</v>
      </c>
      <c r="CH14" s="50">
        <f t="shared" si="2"/>
        <v>85</v>
      </c>
      <c r="CI14" s="50">
        <f t="shared" si="2"/>
        <v>86</v>
      </c>
      <c r="CJ14" s="52">
        <f t="shared" si="2"/>
        <v>87</v>
      </c>
      <c r="CK14" s="50">
        <f>CJ14+1</f>
        <v>88</v>
      </c>
      <c r="CL14" s="50">
        <f>CK14+1</f>
        <v>89</v>
      </c>
      <c r="CM14" s="50">
        <f t="shared" ref="CM14:CR14" si="3">CL14+1</f>
        <v>90</v>
      </c>
      <c r="CN14" s="50">
        <f t="shared" si="3"/>
        <v>91</v>
      </c>
      <c r="CO14" s="50">
        <f t="shared" si="3"/>
        <v>92</v>
      </c>
      <c r="CP14" s="50">
        <f t="shared" si="3"/>
        <v>93</v>
      </c>
      <c r="CQ14" s="50">
        <f t="shared" si="3"/>
        <v>94</v>
      </c>
      <c r="CR14" s="52">
        <f t="shared" si="3"/>
        <v>95</v>
      </c>
    </row>
    <row r="15" spans="1:96" s="62" customFormat="1" ht="10.199999999999999" x14ac:dyDescent="0.2">
      <c r="A15" s="55" t="s">
        <v>260</v>
      </c>
      <c r="B15" s="56">
        <v>5824545</v>
      </c>
      <c r="C15" s="56">
        <v>138792</v>
      </c>
      <c r="D15" s="56">
        <v>100645</v>
      </c>
      <c r="E15" s="56">
        <v>10393</v>
      </c>
      <c r="F15" s="56">
        <v>27755</v>
      </c>
      <c r="G15" s="56">
        <v>38348</v>
      </c>
      <c r="H15" s="57">
        <v>6072</v>
      </c>
      <c r="I15" s="56">
        <v>742436</v>
      </c>
      <c r="J15" s="57">
        <v>221037</v>
      </c>
      <c r="K15" s="56">
        <v>63487</v>
      </c>
      <c r="L15" s="56">
        <v>457912</v>
      </c>
      <c r="M15" s="56">
        <v>259859</v>
      </c>
      <c r="N15" s="56">
        <v>15280</v>
      </c>
      <c r="O15" s="57">
        <v>2005</v>
      </c>
      <c r="P15" s="56">
        <v>3970</v>
      </c>
      <c r="Q15" s="57">
        <v>10265</v>
      </c>
      <c r="R15" s="57">
        <v>1351</v>
      </c>
      <c r="S15" s="56">
        <v>11552</v>
      </c>
      <c r="T15" s="56">
        <v>2839</v>
      </c>
      <c r="U15" s="56">
        <v>29444</v>
      </c>
      <c r="V15" s="56">
        <v>1435</v>
      </c>
      <c r="W15" s="56">
        <v>8662</v>
      </c>
      <c r="X15" s="57">
        <v>10354</v>
      </c>
      <c r="Y15" s="58">
        <v>8392</v>
      </c>
      <c r="Z15" s="57">
        <v>6007</v>
      </c>
      <c r="AA15" s="56">
        <v>52200</v>
      </c>
      <c r="AB15" s="56">
        <v>23279</v>
      </c>
      <c r="AC15" s="56">
        <v>13281</v>
      </c>
      <c r="AD15" s="56">
        <v>5623</v>
      </c>
      <c r="AE15" s="56">
        <v>9868</v>
      </c>
      <c r="AF15" s="57">
        <v>13149</v>
      </c>
      <c r="AG15" s="58">
        <v>30902</v>
      </c>
      <c r="AH15" s="57">
        <v>973378</v>
      </c>
      <c r="AI15" s="56">
        <v>375922</v>
      </c>
      <c r="AJ15" s="56">
        <v>238829</v>
      </c>
      <c r="AK15" s="56">
        <v>122075</v>
      </c>
      <c r="AL15" s="56">
        <v>15018</v>
      </c>
      <c r="AM15" s="56">
        <v>596710</v>
      </c>
      <c r="AN15" s="56">
        <v>85190</v>
      </c>
      <c r="AO15" s="57">
        <v>37218</v>
      </c>
      <c r="AP15" s="56">
        <v>28031</v>
      </c>
      <c r="AQ15" s="57">
        <v>38201</v>
      </c>
      <c r="AR15" s="56">
        <v>99813</v>
      </c>
      <c r="AS15" s="56">
        <v>42782</v>
      </c>
      <c r="AT15" s="56">
        <v>40306</v>
      </c>
      <c r="AU15" s="56">
        <v>53722</v>
      </c>
      <c r="AV15" s="56">
        <v>29559</v>
      </c>
      <c r="AW15" s="56">
        <v>9453</v>
      </c>
      <c r="AX15" s="57">
        <v>80542</v>
      </c>
      <c r="AY15" s="59">
        <v>51893</v>
      </c>
      <c r="AZ15" s="60">
        <v>746</v>
      </c>
      <c r="BA15" s="56">
        <v>195594</v>
      </c>
      <c r="BB15" s="56">
        <v>11979</v>
      </c>
      <c r="BC15" s="56">
        <v>107748</v>
      </c>
      <c r="BD15" s="56">
        <v>29668</v>
      </c>
      <c r="BE15" s="56">
        <v>248</v>
      </c>
      <c r="BF15" s="56">
        <v>40499</v>
      </c>
      <c r="BG15" s="57">
        <v>5452</v>
      </c>
      <c r="BH15" s="59">
        <v>116514</v>
      </c>
      <c r="BI15" s="58">
        <v>30264</v>
      </c>
      <c r="BJ15" s="56">
        <v>32477</v>
      </c>
      <c r="BK15" s="56">
        <v>6748</v>
      </c>
      <c r="BL15" s="56">
        <v>17348</v>
      </c>
      <c r="BM15" s="56">
        <v>8212</v>
      </c>
      <c r="BN15" s="57">
        <v>21465</v>
      </c>
      <c r="BO15" s="57">
        <v>239864</v>
      </c>
      <c r="BP15" s="56">
        <v>47542</v>
      </c>
      <c r="BQ15" s="56">
        <v>55615</v>
      </c>
      <c r="BR15" s="57">
        <v>113906</v>
      </c>
      <c r="BS15" s="57">
        <v>22801</v>
      </c>
      <c r="BT15" s="56">
        <v>647037</v>
      </c>
      <c r="BU15" s="56">
        <v>601870</v>
      </c>
      <c r="BV15" s="56">
        <v>42987</v>
      </c>
      <c r="BW15" s="57">
        <v>2181</v>
      </c>
      <c r="BX15" s="56">
        <v>864803</v>
      </c>
      <c r="BY15" s="56">
        <v>47729</v>
      </c>
      <c r="BZ15" s="57">
        <v>273900</v>
      </c>
      <c r="CA15" s="56">
        <v>256843</v>
      </c>
      <c r="CB15" s="57">
        <v>17057</v>
      </c>
      <c r="CC15" s="57">
        <v>55309</v>
      </c>
      <c r="CD15" s="56">
        <v>429339</v>
      </c>
      <c r="CE15" s="56">
        <v>345874</v>
      </c>
      <c r="CF15" s="56">
        <v>65466</v>
      </c>
      <c r="CG15" s="56">
        <v>18000</v>
      </c>
      <c r="CH15" s="56">
        <v>122225</v>
      </c>
      <c r="CI15" s="57">
        <v>72240</v>
      </c>
      <c r="CJ15" s="57">
        <v>49985</v>
      </c>
      <c r="CK15" s="56">
        <v>297986</v>
      </c>
      <c r="CL15" s="56">
        <v>34347</v>
      </c>
      <c r="CM15" s="56">
        <v>263639</v>
      </c>
      <c r="CN15" s="56">
        <v>375059</v>
      </c>
      <c r="CO15" s="56">
        <v>167277</v>
      </c>
      <c r="CP15" s="56">
        <v>160308</v>
      </c>
      <c r="CQ15" s="56">
        <v>47474</v>
      </c>
      <c r="CR15" s="61">
        <v>300</v>
      </c>
    </row>
    <row r="16" spans="1:96" s="63" customFormat="1" ht="10.199999999999999" x14ac:dyDescent="0.2">
      <c r="A16" s="55" t="s">
        <v>204</v>
      </c>
      <c r="B16" s="59">
        <v>75965019409</v>
      </c>
      <c r="C16" s="59">
        <v>138562878</v>
      </c>
      <c r="D16" s="59">
        <v>109581343</v>
      </c>
      <c r="E16" s="59">
        <v>13771102</v>
      </c>
      <c r="F16" s="59">
        <v>15210433</v>
      </c>
      <c r="G16" s="59">
        <v>894303401</v>
      </c>
      <c r="H16" s="58">
        <v>1554187609</v>
      </c>
      <c r="I16" s="59">
        <v>679234441</v>
      </c>
      <c r="J16" s="58">
        <v>290001047</v>
      </c>
      <c r="K16" s="59">
        <v>200551151</v>
      </c>
      <c r="L16" s="59">
        <v>188682244</v>
      </c>
      <c r="M16" s="59">
        <v>10497317882</v>
      </c>
      <c r="N16" s="59">
        <v>826264589</v>
      </c>
      <c r="O16" s="58">
        <v>263556982</v>
      </c>
      <c r="P16" s="59">
        <v>26962212</v>
      </c>
      <c r="Q16" s="58">
        <v>34759534</v>
      </c>
      <c r="R16" s="58">
        <v>6137180</v>
      </c>
      <c r="S16" s="59">
        <v>58162592</v>
      </c>
      <c r="T16" s="59">
        <v>256589323</v>
      </c>
      <c r="U16" s="59">
        <v>56022667</v>
      </c>
      <c r="V16" s="59">
        <v>1875892759</v>
      </c>
      <c r="W16" s="59">
        <v>1835810191</v>
      </c>
      <c r="X16" s="58">
        <v>136647089</v>
      </c>
      <c r="Y16" s="58">
        <v>198088969</v>
      </c>
      <c r="Z16" s="58">
        <v>292651930</v>
      </c>
      <c r="AA16" s="59">
        <v>461061407</v>
      </c>
      <c r="AB16" s="59">
        <v>485167818</v>
      </c>
      <c r="AC16" s="59">
        <v>1036559072</v>
      </c>
      <c r="AD16" s="59">
        <v>1032122717</v>
      </c>
      <c r="AE16" s="59">
        <v>1266779825</v>
      </c>
      <c r="AF16" s="58">
        <v>31439434</v>
      </c>
      <c r="AG16" s="58">
        <v>316641592</v>
      </c>
      <c r="AH16" s="58">
        <v>3816815215</v>
      </c>
      <c r="AI16" s="59">
        <v>1994732235</v>
      </c>
      <c r="AJ16" s="59">
        <v>816149773</v>
      </c>
      <c r="AK16" s="59">
        <v>1176961790</v>
      </c>
      <c r="AL16" s="59">
        <v>1620672</v>
      </c>
      <c r="AM16" s="59">
        <v>1822065645</v>
      </c>
      <c r="AN16" s="59">
        <v>204980022</v>
      </c>
      <c r="AO16" s="58">
        <v>39815806</v>
      </c>
      <c r="AP16" s="59">
        <v>44114452</v>
      </c>
      <c r="AQ16" s="58">
        <v>158832303</v>
      </c>
      <c r="AR16" s="59">
        <v>180022639</v>
      </c>
      <c r="AS16" s="59">
        <v>158139328</v>
      </c>
      <c r="AT16" s="59">
        <v>48353992</v>
      </c>
      <c r="AU16" s="59">
        <v>110026795</v>
      </c>
      <c r="AV16" s="59">
        <v>47455253</v>
      </c>
      <c r="AW16" s="59">
        <v>342866623</v>
      </c>
      <c r="AX16" s="58">
        <v>59016523</v>
      </c>
      <c r="AY16" s="59">
        <v>428441911</v>
      </c>
      <c r="AZ16" s="60">
        <v>17335</v>
      </c>
      <c r="BA16" s="59">
        <v>694410245</v>
      </c>
      <c r="BB16" s="59">
        <v>387849027</v>
      </c>
      <c r="BC16" s="59">
        <v>89793874</v>
      </c>
      <c r="BD16" s="59">
        <v>17575239</v>
      </c>
      <c r="BE16" s="59">
        <v>40570363</v>
      </c>
      <c r="BF16" s="59">
        <v>128012062</v>
      </c>
      <c r="BG16" s="58">
        <v>30609680</v>
      </c>
      <c r="BH16" s="59">
        <v>2419797814</v>
      </c>
      <c r="BI16" s="58">
        <v>458721042</v>
      </c>
      <c r="BJ16" s="59">
        <v>155577954</v>
      </c>
      <c r="BK16" s="59">
        <v>246131309</v>
      </c>
      <c r="BL16" s="59">
        <v>1406534555</v>
      </c>
      <c r="BM16" s="59">
        <v>47318065</v>
      </c>
      <c r="BN16" s="58">
        <v>105514889</v>
      </c>
      <c r="BO16" s="58">
        <v>33656369101</v>
      </c>
      <c r="BP16" s="59">
        <v>4371945665</v>
      </c>
      <c r="BQ16" s="59">
        <v>6435262424</v>
      </c>
      <c r="BR16" s="58">
        <v>8712486828</v>
      </c>
      <c r="BS16" s="58">
        <v>14136674183</v>
      </c>
      <c r="BT16" s="59">
        <v>1437757936</v>
      </c>
      <c r="BU16" s="59">
        <v>1234592783</v>
      </c>
      <c r="BV16" s="59">
        <v>181787822</v>
      </c>
      <c r="BW16" s="58">
        <v>21377331</v>
      </c>
      <c r="BX16" s="59">
        <v>835674884</v>
      </c>
      <c r="BY16" s="59">
        <v>17981037571</v>
      </c>
      <c r="BZ16" s="58">
        <v>297884549</v>
      </c>
      <c r="CA16" s="59">
        <v>213638185</v>
      </c>
      <c r="CB16" s="58">
        <v>84246363</v>
      </c>
      <c r="CC16" s="58">
        <v>52161587</v>
      </c>
      <c r="CD16" s="59">
        <v>315092768</v>
      </c>
      <c r="CE16" s="59">
        <v>123393060</v>
      </c>
      <c r="CF16" s="59">
        <v>62464986</v>
      </c>
      <c r="CG16" s="59">
        <v>129234722</v>
      </c>
      <c r="CH16" s="59">
        <v>104136142</v>
      </c>
      <c r="CI16" s="58">
        <v>36729540</v>
      </c>
      <c r="CJ16" s="58">
        <v>67406602</v>
      </c>
      <c r="CK16" s="59">
        <v>474252014</v>
      </c>
      <c r="CL16" s="59">
        <v>260630228</v>
      </c>
      <c r="CM16" s="59">
        <v>213621786</v>
      </c>
      <c r="CN16" s="59">
        <v>115939166</v>
      </c>
      <c r="CO16" s="59">
        <v>45873696</v>
      </c>
      <c r="CP16" s="59">
        <v>54909006</v>
      </c>
      <c r="CQ16" s="59">
        <v>15156464</v>
      </c>
      <c r="CR16" s="60">
        <v>84206</v>
      </c>
    </row>
    <row r="17" spans="1:96" s="68" customFormat="1" ht="10.199999999999999" x14ac:dyDescent="0.2">
      <c r="A17" s="64" t="s">
        <v>205</v>
      </c>
      <c r="B17" s="65">
        <v>4852747568</v>
      </c>
      <c r="C17" s="65">
        <v>12033946</v>
      </c>
      <c r="D17" s="65">
        <v>8661395</v>
      </c>
      <c r="E17" s="65">
        <v>656501</v>
      </c>
      <c r="F17" s="65">
        <v>2716050</v>
      </c>
      <c r="G17" s="65">
        <v>38406577</v>
      </c>
      <c r="H17" s="66">
        <v>36507304</v>
      </c>
      <c r="I17" s="65">
        <v>112228620</v>
      </c>
      <c r="J17" s="66">
        <v>49821302</v>
      </c>
      <c r="K17" s="65">
        <v>22596435</v>
      </c>
      <c r="L17" s="65">
        <v>39810883</v>
      </c>
      <c r="M17" s="65">
        <v>416869494</v>
      </c>
      <c r="N17" s="65">
        <v>15848959</v>
      </c>
      <c r="O17" s="66">
        <v>15798057</v>
      </c>
      <c r="P17" s="65">
        <v>1559654</v>
      </c>
      <c r="Q17" s="66">
        <v>2935977</v>
      </c>
      <c r="R17" s="66">
        <v>869607</v>
      </c>
      <c r="S17" s="65">
        <v>3102015</v>
      </c>
      <c r="T17" s="65">
        <v>8094564</v>
      </c>
      <c r="U17" s="65">
        <v>4213180</v>
      </c>
      <c r="V17" s="65">
        <v>14802294</v>
      </c>
      <c r="W17" s="65">
        <v>48795492</v>
      </c>
      <c r="X17" s="66">
        <v>8143503</v>
      </c>
      <c r="Y17" s="66">
        <v>7603235</v>
      </c>
      <c r="Z17" s="66">
        <v>14545596</v>
      </c>
      <c r="AA17" s="65">
        <v>22004373</v>
      </c>
      <c r="AB17" s="65">
        <v>29194192</v>
      </c>
      <c r="AC17" s="65">
        <v>74649205</v>
      </c>
      <c r="AD17" s="65">
        <v>44807068</v>
      </c>
      <c r="AE17" s="65">
        <v>78582215</v>
      </c>
      <c r="AF17" s="66">
        <v>2245990</v>
      </c>
      <c r="AG17" s="66">
        <v>19074320</v>
      </c>
      <c r="AH17" s="66">
        <v>327963704</v>
      </c>
      <c r="AI17" s="65">
        <v>163537772</v>
      </c>
      <c r="AJ17" s="65">
        <v>76156721</v>
      </c>
      <c r="AK17" s="65">
        <v>86899960</v>
      </c>
      <c r="AL17" s="65">
        <v>481090</v>
      </c>
      <c r="AM17" s="65">
        <v>164408597</v>
      </c>
      <c r="AN17" s="65">
        <v>18950513</v>
      </c>
      <c r="AO17" s="66">
        <v>3938283</v>
      </c>
      <c r="AP17" s="65">
        <v>5612034</v>
      </c>
      <c r="AQ17" s="66">
        <v>6731007</v>
      </c>
      <c r="AR17" s="65">
        <v>13884753</v>
      </c>
      <c r="AS17" s="65">
        <v>8250538</v>
      </c>
      <c r="AT17" s="65">
        <v>4375087</v>
      </c>
      <c r="AU17" s="65">
        <v>17659170</v>
      </c>
      <c r="AV17" s="65">
        <v>4104835</v>
      </c>
      <c r="AW17" s="65">
        <v>16139653</v>
      </c>
      <c r="AX17" s="66">
        <v>5668337</v>
      </c>
      <c r="AY17" s="65">
        <v>59094387</v>
      </c>
      <c r="AZ17" s="67">
        <v>17335</v>
      </c>
      <c r="BA17" s="65">
        <v>49215099</v>
      </c>
      <c r="BB17" s="65">
        <v>28492020</v>
      </c>
      <c r="BC17" s="65">
        <v>7163715</v>
      </c>
      <c r="BD17" s="65">
        <v>1117660</v>
      </c>
      <c r="BE17" s="65">
        <v>1628752</v>
      </c>
      <c r="BF17" s="65">
        <v>8876234</v>
      </c>
      <c r="BG17" s="66">
        <v>1936717</v>
      </c>
      <c r="BH17" s="65">
        <v>109100925</v>
      </c>
      <c r="BI17" s="66">
        <v>34561516</v>
      </c>
      <c r="BJ17" s="65">
        <v>11358548</v>
      </c>
      <c r="BK17" s="65">
        <v>8214271</v>
      </c>
      <c r="BL17" s="65">
        <v>40338970</v>
      </c>
      <c r="BM17" s="65">
        <v>5463713</v>
      </c>
      <c r="BN17" s="66">
        <v>9163907</v>
      </c>
      <c r="BO17" s="66">
        <v>1073167854</v>
      </c>
      <c r="BP17" s="65">
        <v>284264580</v>
      </c>
      <c r="BQ17" s="65">
        <v>476063982</v>
      </c>
      <c r="BR17" s="66">
        <v>194073347</v>
      </c>
      <c r="BS17" s="66">
        <v>118765944</v>
      </c>
      <c r="BT17" s="65">
        <v>74625146</v>
      </c>
      <c r="BU17" s="65">
        <v>61419685</v>
      </c>
      <c r="BV17" s="65">
        <v>11320060</v>
      </c>
      <c r="BW17" s="66">
        <v>1885400</v>
      </c>
      <c r="BX17" s="65">
        <v>114570300</v>
      </c>
      <c r="BY17" s="65">
        <v>2359939442</v>
      </c>
      <c r="BZ17" s="66">
        <v>26982000</v>
      </c>
      <c r="CA17" s="65">
        <v>21950654</v>
      </c>
      <c r="CB17" s="66">
        <v>5031346</v>
      </c>
      <c r="CC17" s="66">
        <v>8041968</v>
      </c>
      <c r="CD17" s="65">
        <v>32667027</v>
      </c>
      <c r="CE17" s="65">
        <v>19345971</v>
      </c>
      <c r="CF17" s="65">
        <v>6800048</v>
      </c>
      <c r="CG17" s="65">
        <v>6521008</v>
      </c>
      <c r="CH17" s="65">
        <v>11317499</v>
      </c>
      <c r="CI17" s="66">
        <v>5668452</v>
      </c>
      <c r="CJ17" s="66">
        <v>5649047</v>
      </c>
      <c r="CK17" s="65">
        <v>31157806</v>
      </c>
      <c r="CL17" s="65">
        <v>15100059</v>
      </c>
      <c r="CM17" s="65">
        <v>16057747</v>
      </c>
      <c r="CN17" s="65">
        <v>17952857</v>
      </c>
      <c r="CO17" s="65">
        <v>5409101</v>
      </c>
      <c r="CP17" s="65">
        <v>4732302</v>
      </c>
      <c r="CQ17" s="65">
        <v>7811454</v>
      </c>
      <c r="CR17" s="67">
        <v>1</v>
      </c>
    </row>
    <row r="18" spans="1:96" s="68" customFormat="1" ht="10.199999999999999" x14ac:dyDescent="0.2">
      <c r="A18" s="64" t="s">
        <v>206</v>
      </c>
      <c r="B18" s="65">
        <v>12544481793</v>
      </c>
      <c r="C18" s="65">
        <v>12519627</v>
      </c>
      <c r="D18" s="65">
        <v>9669291</v>
      </c>
      <c r="E18" s="65">
        <v>632255</v>
      </c>
      <c r="F18" s="65">
        <v>2218081</v>
      </c>
      <c r="G18" s="65">
        <v>125478637</v>
      </c>
      <c r="H18" s="66">
        <v>104973184</v>
      </c>
      <c r="I18" s="65">
        <v>156609493</v>
      </c>
      <c r="J18" s="66">
        <v>63168744</v>
      </c>
      <c r="K18" s="65">
        <v>31774002</v>
      </c>
      <c r="L18" s="65">
        <v>61666747</v>
      </c>
      <c r="M18" s="65">
        <v>2168961905</v>
      </c>
      <c r="N18" s="65">
        <v>331493144</v>
      </c>
      <c r="O18" s="66">
        <v>16909449</v>
      </c>
      <c r="P18" s="65">
        <v>3457661</v>
      </c>
      <c r="Q18" s="66">
        <v>5988084</v>
      </c>
      <c r="R18" s="66">
        <v>1933545</v>
      </c>
      <c r="S18" s="65">
        <v>7125895</v>
      </c>
      <c r="T18" s="65">
        <v>31613350</v>
      </c>
      <c r="U18" s="65">
        <v>10432196</v>
      </c>
      <c r="V18" s="65">
        <v>602092124</v>
      </c>
      <c r="W18" s="65">
        <v>219452163</v>
      </c>
      <c r="X18" s="66">
        <v>20354261</v>
      </c>
      <c r="Y18" s="66">
        <v>16319043</v>
      </c>
      <c r="Z18" s="66">
        <v>67688077</v>
      </c>
      <c r="AA18" s="65">
        <v>34548110</v>
      </c>
      <c r="AB18" s="65">
        <v>97314339</v>
      </c>
      <c r="AC18" s="65">
        <v>159439561</v>
      </c>
      <c r="AD18" s="65">
        <v>209094099</v>
      </c>
      <c r="AE18" s="65">
        <v>287026523</v>
      </c>
      <c r="AF18" s="66">
        <v>5440292</v>
      </c>
      <c r="AG18" s="66">
        <v>41239987</v>
      </c>
      <c r="AH18" s="66">
        <v>575136886</v>
      </c>
      <c r="AI18" s="65">
        <v>372257377</v>
      </c>
      <c r="AJ18" s="65">
        <v>216651859</v>
      </c>
      <c r="AK18" s="65">
        <v>155423781</v>
      </c>
      <c r="AL18" s="65">
        <v>181737</v>
      </c>
      <c r="AM18" s="65">
        <v>202879509</v>
      </c>
      <c r="AN18" s="65">
        <v>23841982</v>
      </c>
      <c r="AO18" s="66">
        <v>8170070</v>
      </c>
      <c r="AP18" s="65">
        <v>9048165</v>
      </c>
      <c r="AQ18" s="66">
        <v>8609036</v>
      </c>
      <c r="AR18" s="65">
        <v>12795951</v>
      </c>
      <c r="AS18" s="65">
        <v>27331923</v>
      </c>
      <c r="AT18" s="65">
        <v>3594600</v>
      </c>
      <c r="AU18" s="65">
        <v>8013917</v>
      </c>
      <c r="AV18" s="65">
        <v>2560642</v>
      </c>
      <c r="AW18" s="65">
        <v>16372117</v>
      </c>
      <c r="AX18" s="66">
        <v>7734019</v>
      </c>
      <c r="AY18" s="65">
        <v>74807087</v>
      </c>
      <c r="AZ18" s="66">
        <v>0</v>
      </c>
      <c r="BA18" s="65">
        <v>69410963</v>
      </c>
      <c r="BB18" s="65">
        <v>17498903</v>
      </c>
      <c r="BC18" s="65">
        <v>21265946</v>
      </c>
      <c r="BD18" s="65">
        <v>1940950</v>
      </c>
      <c r="BE18" s="65">
        <v>3875531</v>
      </c>
      <c r="BF18" s="65">
        <v>21967963</v>
      </c>
      <c r="BG18" s="66">
        <v>2861670</v>
      </c>
      <c r="BH18" s="65">
        <v>243438468</v>
      </c>
      <c r="BI18" s="66">
        <v>52645973</v>
      </c>
      <c r="BJ18" s="65">
        <v>14749086</v>
      </c>
      <c r="BK18" s="65">
        <v>18454139</v>
      </c>
      <c r="BL18" s="65">
        <v>140950219</v>
      </c>
      <c r="BM18" s="65">
        <v>4138348</v>
      </c>
      <c r="BN18" s="66">
        <v>12500703</v>
      </c>
      <c r="BO18" s="66">
        <v>2588035366</v>
      </c>
      <c r="BP18" s="65">
        <v>777185734</v>
      </c>
      <c r="BQ18" s="65">
        <v>1311400300</v>
      </c>
      <c r="BR18" s="66">
        <v>306721776</v>
      </c>
      <c r="BS18" s="66">
        <v>192727555</v>
      </c>
      <c r="BT18" s="65">
        <v>72145357</v>
      </c>
      <c r="BU18" s="65">
        <v>41836027</v>
      </c>
      <c r="BV18" s="65">
        <v>29145942</v>
      </c>
      <c r="BW18" s="66">
        <v>1163388</v>
      </c>
      <c r="BX18" s="65">
        <v>160914519</v>
      </c>
      <c r="BY18" s="65">
        <v>6127826878</v>
      </c>
      <c r="BZ18" s="66">
        <v>45865599</v>
      </c>
      <c r="CA18" s="65">
        <v>37610873</v>
      </c>
      <c r="CB18" s="66">
        <v>8254726</v>
      </c>
      <c r="CC18" s="66">
        <v>6196036</v>
      </c>
      <c r="CD18" s="65">
        <v>48564299</v>
      </c>
      <c r="CE18" s="65">
        <v>14658104</v>
      </c>
      <c r="CF18" s="65">
        <v>12137356</v>
      </c>
      <c r="CG18" s="65">
        <v>21768839</v>
      </c>
      <c r="CH18" s="65">
        <v>5207462</v>
      </c>
      <c r="CI18" s="66">
        <v>2465438</v>
      </c>
      <c r="CJ18" s="66">
        <v>2742024</v>
      </c>
      <c r="CK18" s="65">
        <v>21625891</v>
      </c>
      <c r="CL18" s="65">
        <v>10782514</v>
      </c>
      <c r="CM18" s="65">
        <v>10843376</v>
      </c>
      <c r="CN18" s="65">
        <v>11571224</v>
      </c>
      <c r="CO18" s="65">
        <v>6057650</v>
      </c>
      <c r="CP18" s="65">
        <v>4165559</v>
      </c>
      <c r="CQ18" s="65">
        <v>1348015</v>
      </c>
      <c r="CR18" s="66">
        <v>0</v>
      </c>
    </row>
    <row r="19" spans="1:96" s="68" customFormat="1" ht="10.199999999999999" x14ac:dyDescent="0.2">
      <c r="A19" s="64" t="s">
        <v>207</v>
      </c>
      <c r="B19" s="65">
        <v>314476351</v>
      </c>
      <c r="C19" s="65">
        <v>100467</v>
      </c>
      <c r="D19" s="65">
        <v>75350</v>
      </c>
      <c r="E19" s="65">
        <v>12174</v>
      </c>
      <c r="F19" s="65">
        <v>12943</v>
      </c>
      <c r="G19" s="65">
        <v>836610</v>
      </c>
      <c r="H19" s="66">
        <v>4031879</v>
      </c>
      <c r="I19" s="65">
        <v>1463114</v>
      </c>
      <c r="J19" s="66">
        <v>398111</v>
      </c>
      <c r="K19" s="65">
        <v>353426</v>
      </c>
      <c r="L19" s="65">
        <v>711577</v>
      </c>
      <c r="M19" s="65">
        <v>28613284</v>
      </c>
      <c r="N19" s="65">
        <v>697514</v>
      </c>
      <c r="O19" s="66">
        <v>134438</v>
      </c>
      <c r="P19" s="65">
        <v>119194</v>
      </c>
      <c r="Q19" s="66">
        <v>398258</v>
      </c>
      <c r="R19" s="66">
        <v>47405</v>
      </c>
      <c r="S19" s="65">
        <v>166665</v>
      </c>
      <c r="T19" s="65">
        <v>480500</v>
      </c>
      <c r="U19" s="65">
        <v>276693</v>
      </c>
      <c r="V19" s="65">
        <v>990025</v>
      </c>
      <c r="W19" s="65">
        <v>4879510</v>
      </c>
      <c r="X19" s="66">
        <v>605820</v>
      </c>
      <c r="Y19" s="66">
        <v>548652</v>
      </c>
      <c r="Z19" s="66">
        <v>672691</v>
      </c>
      <c r="AA19" s="65">
        <v>905311</v>
      </c>
      <c r="AB19" s="65">
        <v>1891446</v>
      </c>
      <c r="AC19" s="65">
        <v>2757857</v>
      </c>
      <c r="AD19" s="65">
        <v>5084543</v>
      </c>
      <c r="AE19" s="65">
        <v>6290289</v>
      </c>
      <c r="AF19" s="66">
        <v>286778</v>
      </c>
      <c r="AG19" s="66">
        <v>1379694</v>
      </c>
      <c r="AH19" s="66">
        <v>16641674</v>
      </c>
      <c r="AI19" s="65">
        <v>9887392</v>
      </c>
      <c r="AJ19" s="65">
        <v>6337741</v>
      </c>
      <c r="AK19" s="65">
        <v>3533362</v>
      </c>
      <c r="AL19" s="69">
        <v>16289</v>
      </c>
      <c r="AM19" s="65">
        <v>6754283</v>
      </c>
      <c r="AN19" s="65">
        <v>312684</v>
      </c>
      <c r="AO19" s="66">
        <v>151213</v>
      </c>
      <c r="AP19" s="65">
        <v>137708</v>
      </c>
      <c r="AQ19" s="66">
        <v>262273</v>
      </c>
      <c r="AR19" s="65">
        <v>105021</v>
      </c>
      <c r="AS19" s="65">
        <v>1065366</v>
      </c>
      <c r="AT19" s="65">
        <v>53597</v>
      </c>
      <c r="AU19" s="65">
        <v>376149</v>
      </c>
      <c r="AV19" s="65">
        <v>101490</v>
      </c>
      <c r="AW19" s="65">
        <v>1152142</v>
      </c>
      <c r="AX19" s="66">
        <v>142254</v>
      </c>
      <c r="AY19" s="65">
        <v>2894385</v>
      </c>
      <c r="AZ19" s="66">
        <v>0</v>
      </c>
      <c r="BA19" s="65">
        <v>1860756</v>
      </c>
      <c r="BB19" s="65">
        <v>556748</v>
      </c>
      <c r="BC19" s="65">
        <v>393895</v>
      </c>
      <c r="BD19" s="65">
        <v>31435</v>
      </c>
      <c r="BE19" s="65">
        <v>377652</v>
      </c>
      <c r="BF19" s="65">
        <v>468582</v>
      </c>
      <c r="BG19" s="66">
        <v>32443</v>
      </c>
      <c r="BH19" s="65">
        <v>11848119</v>
      </c>
      <c r="BI19" s="66">
        <v>3515445</v>
      </c>
      <c r="BJ19" s="65">
        <v>1270517</v>
      </c>
      <c r="BK19" s="65">
        <v>770390</v>
      </c>
      <c r="BL19" s="65">
        <v>5705192</v>
      </c>
      <c r="BM19" s="65">
        <v>148801</v>
      </c>
      <c r="BN19" s="66">
        <v>437774</v>
      </c>
      <c r="BO19" s="66">
        <v>33695656</v>
      </c>
      <c r="BP19" s="65">
        <v>22870595</v>
      </c>
      <c r="BQ19" s="65">
        <v>1937708</v>
      </c>
      <c r="BR19" s="66">
        <v>3878408</v>
      </c>
      <c r="BS19" s="66">
        <v>5008945</v>
      </c>
      <c r="BT19" s="65">
        <v>2400029</v>
      </c>
      <c r="BU19" s="65">
        <v>1485681</v>
      </c>
      <c r="BV19" s="65">
        <v>865974</v>
      </c>
      <c r="BW19" s="66">
        <v>48374</v>
      </c>
      <c r="BX19" s="65">
        <v>3107240</v>
      </c>
      <c r="BY19" s="65">
        <v>190492801</v>
      </c>
      <c r="BZ19" s="66">
        <v>1398449</v>
      </c>
      <c r="CA19" s="65">
        <v>1156864</v>
      </c>
      <c r="CB19" s="66">
        <v>241585</v>
      </c>
      <c r="CC19" s="66">
        <v>994047</v>
      </c>
      <c r="CD19" s="65">
        <v>14730876</v>
      </c>
      <c r="CE19" s="65">
        <v>3240881</v>
      </c>
      <c r="CF19" s="65">
        <v>3290147</v>
      </c>
      <c r="CG19" s="65">
        <v>8199848</v>
      </c>
      <c r="CH19" s="65">
        <v>370460</v>
      </c>
      <c r="CI19" s="66">
        <v>142242</v>
      </c>
      <c r="CJ19" s="66">
        <v>228218</v>
      </c>
      <c r="CK19" s="65">
        <v>1329789</v>
      </c>
      <c r="CL19" s="65">
        <v>1055352</v>
      </c>
      <c r="CM19" s="65">
        <v>274437</v>
      </c>
      <c r="CN19" s="65">
        <v>561099</v>
      </c>
      <c r="CO19" s="65">
        <v>103805</v>
      </c>
      <c r="CP19" s="65">
        <v>125882</v>
      </c>
      <c r="CQ19" s="65">
        <v>331413</v>
      </c>
      <c r="CR19" s="66">
        <v>0</v>
      </c>
    </row>
    <row r="20" spans="1:96" s="68" customFormat="1" ht="10.199999999999999" x14ac:dyDescent="0.2">
      <c r="A20" s="70" t="s">
        <v>208</v>
      </c>
      <c r="B20" s="71">
        <v>1473962805</v>
      </c>
      <c r="C20" s="65">
        <v>13484957</v>
      </c>
      <c r="D20" s="65">
        <v>11228074</v>
      </c>
      <c r="E20" s="65">
        <v>555559</v>
      </c>
      <c r="F20" s="65">
        <v>1701324</v>
      </c>
      <c r="G20" s="65">
        <v>23309163</v>
      </c>
      <c r="H20" s="66">
        <v>32497417</v>
      </c>
      <c r="I20" s="65">
        <v>84343967</v>
      </c>
      <c r="J20" s="66">
        <v>50022161</v>
      </c>
      <c r="K20" s="65">
        <v>26094293</v>
      </c>
      <c r="L20" s="65">
        <v>8227513</v>
      </c>
      <c r="M20" s="65">
        <v>547716069</v>
      </c>
      <c r="N20" s="65">
        <v>45779425</v>
      </c>
      <c r="O20" s="66">
        <v>15727023</v>
      </c>
      <c r="P20" s="65">
        <v>4505292</v>
      </c>
      <c r="Q20" s="66">
        <v>7887021</v>
      </c>
      <c r="R20" s="66">
        <v>1103023</v>
      </c>
      <c r="S20" s="65">
        <v>6989574</v>
      </c>
      <c r="T20" s="65">
        <v>14429647</v>
      </c>
      <c r="U20" s="65">
        <v>3836272</v>
      </c>
      <c r="V20" s="65">
        <v>34523117</v>
      </c>
      <c r="W20" s="65">
        <v>88495418</v>
      </c>
      <c r="X20" s="66">
        <v>16829734</v>
      </c>
      <c r="Y20" s="66">
        <v>11141860</v>
      </c>
      <c r="Z20" s="66">
        <v>25688685</v>
      </c>
      <c r="AA20" s="65">
        <v>31756906</v>
      </c>
      <c r="AB20" s="65">
        <v>46180014</v>
      </c>
      <c r="AC20" s="65">
        <v>43306866</v>
      </c>
      <c r="AD20" s="65">
        <v>22309505</v>
      </c>
      <c r="AE20" s="65">
        <v>90621529</v>
      </c>
      <c r="AF20" s="66">
        <v>4744259</v>
      </c>
      <c r="AG20" s="66">
        <v>31860899</v>
      </c>
      <c r="AH20" s="66">
        <v>692864820</v>
      </c>
      <c r="AI20" s="65">
        <v>306285072</v>
      </c>
      <c r="AJ20" s="65">
        <v>176086062</v>
      </c>
      <c r="AK20" s="65">
        <v>130197769</v>
      </c>
      <c r="AL20" s="69">
        <v>1241</v>
      </c>
      <c r="AM20" s="65">
        <v>386579748</v>
      </c>
      <c r="AN20" s="65">
        <v>95366350</v>
      </c>
      <c r="AO20" s="66">
        <v>11960860</v>
      </c>
      <c r="AP20" s="65">
        <v>9339567</v>
      </c>
      <c r="AQ20" s="66">
        <v>33760657</v>
      </c>
      <c r="AR20" s="65">
        <v>29143936</v>
      </c>
      <c r="AS20" s="65">
        <v>28956451</v>
      </c>
      <c r="AT20" s="65">
        <v>5309726</v>
      </c>
      <c r="AU20" s="65">
        <v>28952866</v>
      </c>
      <c r="AV20" s="65">
        <v>18161014</v>
      </c>
      <c r="AW20" s="65">
        <v>67573616</v>
      </c>
      <c r="AX20" s="66">
        <v>15807252</v>
      </c>
      <c r="AY20" s="65">
        <v>42247452</v>
      </c>
      <c r="AZ20" s="66">
        <v>0</v>
      </c>
      <c r="BA20" s="65">
        <v>8655462</v>
      </c>
      <c r="BB20" s="65">
        <v>4450222</v>
      </c>
      <c r="BC20" s="65">
        <v>986698</v>
      </c>
      <c r="BD20" s="65">
        <v>121048</v>
      </c>
      <c r="BE20" s="65">
        <v>862537</v>
      </c>
      <c r="BF20" s="65">
        <v>1658155</v>
      </c>
      <c r="BG20" s="66">
        <v>576802</v>
      </c>
      <c r="BH20" s="65">
        <v>26099687</v>
      </c>
      <c r="BI20" s="66">
        <v>7089068</v>
      </c>
      <c r="BJ20" s="65">
        <v>4823306</v>
      </c>
      <c r="BK20" s="65">
        <v>1476382</v>
      </c>
      <c r="BL20" s="65">
        <v>11971927</v>
      </c>
      <c r="BM20" s="65">
        <v>119630</v>
      </c>
      <c r="BN20" s="66">
        <v>619373</v>
      </c>
      <c r="BO20" s="66">
        <v>2536553</v>
      </c>
      <c r="BP20" s="65">
        <v>828700</v>
      </c>
      <c r="BQ20" s="65">
        <v>1053822</v>
      </c>
      <c r="BR20" s="66">
        <v>635452</v>
      </c>
      <c r="BS20" s="67">
        <v>18580</v>
      </c>
      <c r="BT20" s="65">
        <v>4469329</v>
      </c>
      <c r="BU20" s="65">
        <v>505214</v>
      </c>
      <c r="BV20" s="65">
        <v>3940374</v>
      </c>
      <c r="BW20" s="66">
        <v>23742</v>
      </c>
      <c r="BX20" s="65">
        <v>14479345</v>
      </c>
      <c r="BY20" s="65">
        <v>295637</v>
      </c>
      <c r="BZ20" s="66">
        <v>3064356</v>
      </c>
      <c r="CA20" s="65">
        <v>2266846</v>
      </c>
      <c r="CB20" s="66">
        <v>797510</v>
      </c>
      <c r="CC20" s="66">
        <v>567222</v>
      </c>
      <c r="CD20" s="65">
        <v>2047161</v>
      </c>
      <c r="CE20" s="65">
        <v>1227296</v>
      </c>
      <c r="CF20" s="65">
        <v>637794</v>
      </c>
      <c r="CG20" s="65">
        <v>182070</v>
      </c>
      <c r="CH20" s="65">
        <v>1617873</v>
      </c>
      <c r="CI20" s="66">
        <v>607075</v>
      </c>
      <c r="CJ20" s="66">
        <v>1010799</v>
      </c>
      <c r="CK20" s="65">
        <v>9197159</v>
      </c>
      <c r="CL20" s="65">
        <v>3908515</v>
      </c>
      <c r="CM20" s="65">
        <v>5288644</v>
      </c>
      <c r="CN20" s="65">
        <v>6716631</v>
      </c>
      <c r="CO20" s="65">
        <v>4549481</v>
      </c>
      <c r="CP20" s="65">
        <v>2112400</v>
      </c>
      <c r="CQ20" s="65">
        <v>54749</v>
      </c>
      <c r="CR20" s="66">
        <v>0</v>
      </c>
    </row>
    <row r="21" spans="1:96" s="68" customFormat="1" ht="10.199999999999999" x14ac:dyDescent="0.2">
      <c r="A21" s="64" t="s">
        <v>209</v>
      </c>
      <c r="B21" s="65">
        <v>2500549942</v>
      </c>
      <c r="C21" s="65">
        <v>212041</v>
      </c>
      <c r="D21" s="65">
        <v>208988</v>
      </c>
      <c r="E21" s="65">
        <v>3054</v>
      </c>
      <c r="F21" s="65">
        <v>0</v>
      </c>
      <c r="G21" s="65">
        <v>2666345</v>
      </c>
      <c r="H21" s="66">
        <v>2819584</v>
      </c>
      <c r="I21" s="65">
        <v>2328601</v>
      </c>
      <c r="J21" s="66">
        <v>1936964</v>
      </c>
      <c r="K21" s="65">
        <v>262721</v>
      </c>
      <c r="L21" s="65">
        <v>128916</v>
      </c>
      <c r="M21" s="65">
        <v>6285450</v>
      </c>
      <c r="N21" s="69">
        <v>1025323</v>
      </c>
      <c r="O21" s="67">
        <v>1129</v>
      </c>
      <c r="P21" s="69">
        <v>25853</v>
      </c>
      <c r="Q21" s="66">
        <v>4830</v>
      </c>
      <c r="R21" s="66">
        <v>0</v>
      </c>
      <c r="S21" s="69">
        <v>83327</v>
      </c>
      <c r="T21" s="69">
        <v>14304</v>
      </c>
      <c r="U21" s="69">
        <v>107372</v>
      </c>
      <c r="V21" s="69">
        <v>40601</v>
      </c>
      <c r="W21" s="69">
        <v>905310</v>
      </c>
      <c r="X21" s="67">
        <v>584</v>
      </c>
      <c r="Y21" s="66">
        <v>277592</v>
      </c>
      <c r="Z21" s="66">
        <v>112441</v>
      </c>
      <c r="AA21" s="65">
        <v>253885</v>
      </c>
      <c r="AB21" s="65">
        <v>188898</v>
      </c>
      <c r="AC21" s="69">
        <v>137473</v>
      </c>
      <c r="AD21" s="69">
        <v>2591172</v>
      </c>
      <c r="AE21" s="65">
        <v>180359</v>
      </c>
      <c r="AF21" s="66">
        <v>56444</v>
      </c>
      <c r="AG21" s="66">
        <v>278551</v>
      </c>
      <c r="AH21" s="66">
        <v>12805709</v>
      </c>
      <c r="AI21" s="65">
        <v>12672304</v>
      </c>
      <c r="AJ21" s="65">
        <v>1212240</v>
      </c>
      <c r="AK21" s="65">
        <v>11460064</v>
      </c>
      <c r="AL21" s="65">
        <v>0</v>
      </c>
      <c r="AM21" s="65">
        <v>133405</v>
      </c>
      <c r="AN21" s="69">
        <v>54770</v>
      </c>
      <c r="AO21" s="67">
        <v>4184</v>
      </c>
      <c r="AP21" s="69">
        <v>3135</v>
      </c>
      <c r="AQ21" s="67">
        <v>24717</v>
      </c>
      <c r="AR21" s="65">
        <v>3411</v>
      </c>
      <c r="AS21" s="69">
        <v>5471</v>
      </c>
      <c r="AT21" s="69">
        <v>663</v>
      </c>
      <c r="AU21" s="69">
        <v>17098</v>
      </c>
      <c r="AV21" s="65">
        <v>0</v>
      </c>
      <c r="AW21" s="65">
        <v>0</v>
      </c>
      <c r="AX21" s="66">
        <v>13686</v>
      </c>
      <c r="AY21" s="65">
        <v>6271</v>
      </c>
      <c r="AZ21" s="66">
        <v>0</v>
      </c>
      <c r="BA21" s="65">
        <v>5476577</v>
      </c>
      <c r="BB21" s="65">
        <v>5440053</v>
      </c>
      <c r="BC21" s="69">
        <v>3063</v>
      </c>
      <c r="BD21" s="65">
        <v>19</v>
      </c>
      <c r="BE21" s="65">
        <v>0</v>
      </c>
      <c r="BF21" s="65">
        <v>15504</v>
      </c>
      <c r="BG21" s="67">
        <v>17937</v>
      </c>
      <c r="BH21" s="65">
        <v>966088</v>
      </c>
      <c r="BI21" s="66">
        <v>630295</v>
      </c>
      <c r="BJ21" s="69">
        <v>61158</v>
      </c>
      <c r="BK21" s="65">
        <v>31955</v>
      </c>
      <c r="BL21" s="65">
        <v>227933</v>
      </c>
      <c r="BM21" s="65">
        <v>0</v>
      </c>
      <c r="BN21" s="67">
        <v>14746</v>
      </c>
      <c r="BO21" s="66">
        <v>1711427982</v>
      </c>
      <c r="BP21" s="65">
        <v>78784289</v>
      </c>
      <c r="BQ21" s="65">
        <v>179557775</v>
      </c>
      <c r="BR21" s="66">
        <v>307496222</v>
      </c>
      <c r="BS21" s="66">
        <v>1145589697</v>
      </c>
      <c r="BT21" s="65">
        <v>793135</v>
      </c>
      <c r="BU21" s="65">
        <v>678771</v>
      </c>
      <c r="BV21" s="69">
        <v>63721</v>
      </c>
      <c r="BW21" s="66">
        <v>50644</v>
      </c>
      <c r="BX21" s="65">
        <v>986680</v>
      </c>
      <c r="BY21" s="65">
        <v>753009253</v>
      </c>
      <c r="BZ21" s="66">
        <v>203571</v>
      </c>
      <c r="CA21" s="65">
        <v>188147</v>
      </c>
      <c r="CB21" s="67">
        <v>15425</v>
      </c>
      <c r="CC21" s="67">
        <v>8179</v>
      </c>
      <c r="CD21" s="65">
        <v>175901</v>
      </c>
      <c r="CE21" s="69">
        <v>150471</v>
      </c>
      <c r="CF21" s="69">
        <v>16665</v>
      </c>
      <c r="CG21" s="65">
        <v>8765</v>
      </c>
      <c r="CH21" s="69">
        <v>91413</v>
      </c>
      <c r="CI21" s="67">
        <v>44812</v>
      </c>
      <c r="CJ21" s="67">
        <v>46601</v>
      </c>
      <c r="CK21" s="69">
        <v>124714</v>
      </c>
      <c r="CL21" s="65">
        <v>77638</v>
      </c>
      <c r="CM21" s="69">
        <v>47076</v>
      </c>
      <c r="CN21" s="65">
        <v>168719</v>
      </c>
      <c r="CO21" s="65">
        <v>0</v>
      </c>
      <c r="CP21" s="65">
        <v>0</v>
      </c>
      <c r="CQ21" s="65">
        <v>168719</v>
      </c>
      <c r="CR21" s="66">
        <v>0</v>
      </c>
    </row>
    <row r="22" spans="1:96" s="68" customFormat="1" ht="10.199999999999999" x14ac:dyDescent="0.2">
      <c r="A22" s="64" t="s">
        <v>210</v>
      </c>
      <c r="B22" s="65">
        <v>1737692798</v>
      </c>
      <c r="C22" s="65">
        <v>319503</v>
      </c>
      <c r="D22" s="65">
        <v>319503</v>
      </c>
      <c r="E22" s="65">
        <v>0</v>
      </c>
      <c r="F22" s="65">
        <v>0</v>
      </c>
      <c r="G22" s="65">
        <v>350306</v>
      </c>
      <c r="H22" s="67">
        <v>569861</v>
      </c>
      <c r="I22" s="65">
        <v>1277926</v>
      </c>
      <c r="J22" s="66">
        <v>567123</v>
      </c>
      <c r="K22" s="65">
        <v>440029</v>
      </c>
      <c r="L22" s="65">
        <v>270773</v>
      </c>
      <c r="M22" s="65">
        <v>8893568</v>
      </c>
      <c r="N22" s="65">
        <v>206729</v>
      </c>
      <c r="O22" s="67">
        <v>124570</v>
      </c>
      <c r="P22" s="69">
        <v>549628</v>
      </c>
      <c r="Q22" s="67">
        <v>1520</v>
      </c>
      <c r="R22" s="66">
        <v>0</v>
      </c>
      <c r="S22" s="65">
        <v>11362</v>
      </c>
      <c r="T22" s="69">
        <v>39891</v>
      </c>
      <c r="U22" s="69">
        <v>35818</v>
      </c>
      <c r="V22" s="69">
        <v>1066600</v>
      </c>
      <c r="W22" s="65">
        <v>909154</v>
      </c>
      <c r="X22" s="67">
        <v>297297</v>
      </c>
      <c r="Y22" s="67">
        <v>34406</v>
      </c>
      <c r="Z22" s="67">
        <v>188924</v>
      </c>
      <c r="AA22" s="65">
        <v>227628</v>
      </c>
      <c r="AB22" s="65">
        <v>114481</v>
      </c>
      <c r="AC22" s="65">
        <v>1778537</v>
      </c>
      <c r="AD22" s="69">
        <v>2661641</v>
      </c>
      <c r="AE22" s="65">
        <v>16400</v>
      </c>
      <c r="AF22" s="67">
        <v>307029</v>
      </c>
      <c r="AG22" s="66">
        <v>321952</v>
      </c>
      <c r="AH22" s="66">
        <v>8935876</v>
      </c>
      <c r="AI22" s="65">
        <v>6355376</v>
      </c>
      <c r="AJ22" s="65">
        <v>1198499</v>
      </c>
      <c r="AK22" s="65">
        <v>5156877</v>
      </c>
      <c r="AL22" s="65">
        <v>0</v>
      </c>
      <c r="AM22" s="65">
        <v>2580500</v>
      </c>
      <c r="AN22" s="69">
        <v>44042</v>
      </c>
      <c r="AO22" s="67">
        <v>77276</v>
      </c>
      <c r="AP22" s="69">
        <v>600613</v>
      </c>
      <c r="AQ22" s="67">
        <v>92689</v>
      </c>
      <c r="AR22" s="69">
        <v>1373513</v>
      </c>
      <c r="AS22" s="69">
        <v>29679</v>
      </c>
      <c r="AT22" s="69">
        <v>1704</v>
      </c>
      <c r="AU22" s="65">
        <v>256902</v>
      </c>
      <c r="AV22" s="65">
        <v>0</v>
      </c>
      <c r="AW22" s="65">
        <v>0</v>
      </c>
      <c r="AX22" s="67">
        <v>4687</v>
      </c>
      <c r="AY22" s="69">
        <v>99395</v>
      </c>
      <c r="AZ22" s="66">
        <v>0</v>
      </c>
      <c r="BA22" s="65">
        <v>764301</v>
      </c>
      <c r="BB22" s="69">
        <v>216032</v>
      </c>
      <c r="BC22" s="69">
        <v>6442</v>
      </c>
      <c r="BD22" s="65">
        <v>0</v>
      </c>
      <c r="BE22" s="69">
        <v>4902</v>
      </c>
      <c r="BF22" s="69">
        <v>536831</v>
      </c>
      <c r="BG22" s="67">
        <v>96</v>
      </c>
      <c r="BH22" s="65">
        <v>1977098</v>
      </c>
      <c r="BI22" s="66">
        <v>1157801</v>
      </c>
      <c r="BJ22" s="69">
        <v>336079</v>
      </c>
      <c r="BK22" s="69">
        <v>311222</v>
      </c>
      <c r="BL22" s="65">
        <v>111012</v>
      </c>
      <c r="BM22" s="69">
        <v>59619</v>
      </c>
      <c r="BN22" s="66">
        <v>1365</v>
      </c>
      <c r="BO22" s="66">
        <v>1523210929</v>
      </c>
      <c r="BP22" s="65">
        <v>33141536</v>
      </c>
      <c r="BQ22" s="65">
        <v>7596592</v>
      </c>
      <c r="BR22" s="66">
        <v>664023274</v>
      </c>
      <c r="BS22" s="66">
        <v>818449527</v>
      </c>
      <c r="BT22" s="65">
        <v>1812532</v>
      </c>
      <c r="BU22" s="65">
        <v>1220886</v>
      </c>
      <c r="BV22" s="69">
        <v>204013</v>
      </c>
      <c r="BW22" s="66">
        <v>387633</v>
      </c>
      <c r="BX22" s="65">
        <v>452312</v>
      </c>
      <c r="BY22" s="65">
        <v>187380670</v>
      </c>
      <c r="BZ22" s="66">
        <v>479165</v>
      </c>
      <c r="CA22" s="65">
        <v>440334</v>
      </c>
      <c r="CB22" s="67">
        <v>38831</v>
      </c>
      <c r="CC22" s="67">
        <v>93265</v>
      </c>
      <c r="CD22" s="65">
        <v>661245</v>
      </c>
      <c r="CE22" s="65">
        <v>596913</v>
      </c>
      <c r="CF22" s="69">
        <v>62978</v>
      </c>
      <c r="CG22" s="69">
        <v>1354</v>
      </c>
      <c r="CH22" s="65">
        <v>189820</v>
      </c>
      <c r="CI22" s="67">
        <v>126605</v>
      </c>
      <c r="CJ22" s="67">
        <v>63215</v>
      </c>
      <c r="CK22" s="65">
        <v>211418</v>
      </c>
      <c r="CL22" s="69">
        <v>202</v>
      </c>
      <c r="CM22" s="69">
        <v>211217</v>
      </c>
      <c r="CN22" s="65">
        <v>113003</v>
      </c>
      <c r="CO22" s="69">
        <v>639</v>
      </c>
      <c r="CP22" s="69">
        <v>99393</v>
      </c>
      <c r="CQ22" s="69">
        <v>12970</v>
      </c>
      <c r="CR22" s="66">
        <v>0</v>
      </c>
    </row>
    <row r="23" spans="1:96" s="68" customFormat="1" ht="10.199999999999999" x14ac:dyDescent="0.2">
      <c r="A23" s="64" t="s">
        <v>211</v>
      </c>
      <c r="B23" s="65">
        <v>5107369654</v>
      </c>
      <c r="C23" s="65">
        <v>6469675</v>
      </c>
      <c r="D23" s="65">
        <v>5066185</v>
      </c>
      <c r="E23" s="65">
        <v>403253</v>
      </c>
      <c r="F23" s="65">
        <v>1000237</v>
      </c>
      <c r="G23" s="65">
        <v>29534422</v>
      </c>
      <c r="H23" s="66">
        <v>74469900</v>
      </c>
      <c r="I23" s="65">
        <v>70941349</v>
      </c>
      <c r="J23" s="66">
        <v>35113067</v>
      </c>
      <c r="K23" s="65">
        <v>20489354</v>
      </c>
      <c r="L23" s="65">
        <v>15338928</v>
      </c>
      <c r="M23" s="65">
        <v>522321983</v>
      </c>
      <c r="N23" s="65">
        <v>19596632</v>
      </c>
      <c r="O23" s="66">
        <v>7936082</v>
      </c>
      <c r="P23" s="65">
        <v>1206784</v>
      </c>
      <c r="Q23" s="66">
        <v>2489831</v>
      </c>
      <c r="R23" s="66">
        <v>599700</v>
      </c>
      <c r="S23" s="65">
        <v>3956288</v>
      </c>
      <c r="T23" s="65">
        <v>5867474</v>
      </c>
      <c r="U23" s="65">
        <v>1895642</v>
      </c>
      <c r="V23" s="65">
        <v>45725902</v>
      </c>
      <c r="W23" s="65">
        <v>124251870</v>
      </c>
      <c r="X23" s="66">
        <v>5174125</v>
      </c>
      <c r="Y23" s="66">
        <v>5084484</v>
      </c>
      <c r="Z23" s="66">
        <v>10681651</v>
      </c>
      <c r="AA23" s="65">
        <v>16105415</v>
      </c>
      <c r="AB23" s="65">
        <v>32840588</v>
      </c>
      <c r="AC23" s="65">
        <v>90766586</v>
      </c>
      <c r="AD23" s="65">
        <v>29172145</v>
      </c>
      <c r="AE23" s="65">
        <v>96222039</v>
      </c>
      <c r="AF23" s="66">
        <v>2201209</v>
      </c>
      <c r="AG23" s="66">
        <v>20547537</v>
      </c>
      <c r="AH23" s="66">
        <v>219709597</v>
      </c>
      <c r="AI23" s="65">
        <v>116582582</v>
      </c>
      <c r="AJ23" s="65">
        <v>59675880</v>
      </c>
      <c r="AK23" s="65">
        <v>56703806</v>
      </c>
      <c r="AL23" s="65">
        <v>202896</v>
      </c>
      <c r="AM23" s="65">
        <v>103127015</v>
      </c>
      <c r="AN23" s="65">
        <v>5572730</v>
      </c>
      <c r="AO23" s="66">
        <v>2451987</v>
      </c>
      <c r="AP23" s="65">
        <v>2190867</v>
      </c>
      <c r="AQ23" s="66">
        <v>16130849</v>
      </c>
      <c r="AR23" s="65">
        <v>5849731</v>
      </c>
      <c r="AS23" s="65">
        <v>4505684</v>
      </c>
      <c r="AT23" s="65">
        <v>1834246</v>
      </c>
      <c r="AU23" s="65">
        <v>7063121</v>
      </c>
      <c r="AV23" s="65">
        <v>2878524</v>
      </c>
      <c r="AW23" s="65">
        <v>12467557</v>
      </c>
      <c r="AX23" s="66">
        <v>3419299</v>
      </c>
      <c r="AY23" s="65">
        <v>38762421</v>
      </c>
      <c r="AZ23" s="66">
        <v>0</v>
      </c>
      <c r="BA23" s="65">
        <v>28931904</v>
      </c>
      <c r="BB23" s="65">
        <v>14702807</v>
      </c>
      <c r="BC23" s="65">
        <v>5394045</v>
      </c>
      <c r="BD23" s="65">
        <v>1043813</v>
      </c>
      <c r="BE23" s="65">
        <v>781146</v>
      </c>
      <c r="BF23" s="65">
        <v>6363692</v>
      </c>
      <c r="BG23" s="66">
        <v>646401</v>
      </c>
      <c r="BH23" s="65">
        <v>102726570</v>
      </c>
      <c r="BI23" s="66">
        <v>27284654</v>
      </c>
      <c r="BJ23" s="65">
        <v>11274773</v>
      </c>
      <c r="BK23" s="65">
        <v>14028783</v>
      </c>
      <c r="BL23" s="65">
        <v>29317755</v>
      </c>
      <c r="BM23" s="65">
        <v>1508758</v>
      </c>
      <c r="BN23" s="66">
        <v>19311847</v>
      </c>
      <c r="BO23" s="66">
        <v>2807443882</v>
      </c>
      <c r="BP23" s="65">
        <v>200635170</v>
      </c>
      <c r="BQ23" s="65">
        <v>1981874830</v>
      </c>
      <c r="BR23" s="66">
        <v>462274127</v>
      </c>
      <c r="BS23" s="66">
        <v>162659755</v>
      </c>
      <c r="BT23" s="65">
        <v>71923085</v>
      </c>
      <c r="BU23" s="65">
        <v>62062846</v>
      </c>
      <c r="BV23" s="65">
        <v>8009749</v>
      </c>
      <c r="BW23" s="66">
        <v>1850490</v>
      </c>
      <c r="BX23" s="65">
        <v>78288876</v>
      </c>
      <c r="BY23" s="65">
        <v>1031356270</v>
      </c>
      <c r="BZ23" s="66">
        <v>17985149</v>
      </c>
      <c r="CA23" s="65">
        <v>14919324</v>
      </c>
      <c r="CB23" s="66">
        <v>3065825</v>
      </c>
      <c r="CC23" s="66">
        <v>4678649</v>
      </c>
      <c r="CD23" s="65">
        <v>15672285</v>
      </c>
      <c r="CE23" s="65">
        <v>6030043</v>
      </c>
      <c r="CF23" s="65">
        <v>3774834</v>
      </c>
      <c r="CG23" s="65">
        <v>5867408</v>
      </c>
      <c r="CH23" s="65">
        <v>6712185</v>
      </c>
      <c r="CI23" s="66">
        <v>4511831</v>
      </c>
      <c r="CJ23" s="66">
        <v>2200353</v>
      </c>
      <c r="CK23" s="65">
        <v>12619513</v>
      </c>
      <c r="CL23" s="65">
        <v>5506425</v>
      </c>
      <c r="CM23" s="65">
        <v>7113088</v>
      </c>
      <c r="CN23" s="65">
        <v>5584360</v>
      </c>
      <c r="CO23" s="65">
        <v>1647233</v>
      </c>
      <c r="CP23" s="65">
        <v>2728527</v>
      </c>
      <c r="CQ23" s="65">
        <v>1208600</v>
      </c>
      <c r="CR23" s="66">
        <v>0</v>
      </c>
    </row>
    <row r="24" spans="1:96" s="68" customFormat="1" ht="10.199999999999999" x14ac:dyDescent="0.2">
      <c r="A24" s="64" t="s">
        <v>212</v>
      </c>
      <c r="B24" s="65">
        <v>716671253</v>
      </c>
      <c r="C24" s="65">
        <v>5469600</v>
      </c>
      <c r="D24" s="65">
        <v>4552536</v>
      </c>
      <c r="E24" s="65">
        <v>407101</v>
      </c>
      <c r="F24" s="65">
        <v>509964</v>
      </c>
      <c r="G24" s="65">
        <v>3030539</v>
      </c>
      <c r="H24" s="66">
        <v>70374</v>
      </c>
      <c r="I24" s="65">
        <v>10633354</v>
      </c>
      <c r="J24" s="66">
        <v>3617635</v>
      </c>
      <c r="K24" s="65">
        <v>1750076</v>
      </c>
      <c r="L24" s="65">
        <v>5265644</v>
      </c>
      <c r="M24" s="65">
        <v>85513613</v>
      </c>
      <c r="N24" s="65">
        <v>1150679</v>
      </c>
      <c r="O24" s="66">
        <v>208023</v>
      </c>
      <c r="P24" s="65">
        <v>128831</v>
      </c>
      <c r="Q24" s="66">
        <v>188616</v>
      </c>
      <c r="R24" s="67">
        <v>47487</v>
      </c>
      <c r="S24" s="65">
        <v>209238</v>
      </c>
      <c r="T24" s="65">
        <v>10128144</v>
      </c>
      <c r="U24" s="65">
        <v>639364</v>
      </c>
      <c r="V24" s="65">
        <v>28915599</v>
      </c>
      <c r="W24" s="65">
        <v>32559951</v>
      </c>
      <c r="X24" s="66">
        <v>614876</v>
      </c>
      <c r="Y24" s="66">
        <v>901153</v>
      </c>
      <c r="Z24" s="66">
        <v>249256</v>
      </c>
      <c r="AA24" s="65">
        <v>1650441</v>
      </c>
      <c r="AB24" s="65">
        <v>1898101</v>
      </c>
      <c r="AC24" s="65">
        <v>3273862</v>
      </c>
      <c r="AD24" s="65">
        <v>479881</v>
      </c>
      <c r="AE24" s="65">
        <v>1512305</v>
      </c>
      <c r="AF24" s="66">
        <v>134369</v>
      </c>
      <c r="AG24" s="66">
        <v>623436</v>
      </c>
      <c r="AH24" s="66">
        <v>20044816</v>
      </c>
      <c r="AI24" s="65">
        <v>10603992</v>
      </c>
      <c r="AJ24" s="65">
        <v>7137004</v>
      </c>
      <c r="AK24" s="65">
        <v>3435657</v>
      </c>
      <c r="AL24" s="69">
        <v>31330</v>
      </c>
      <c r="AM24" s="65">
        <v>9440824</v>
      </c>
      <c r="AN24" s="65">
        <v>2317310</v>
      </c>
      <c r="AO24" s="66">
        <v>396037</v>
      </c>
      <c r="AP24" s="65">
        <v>480920</v>
      </c>
      <c r="AQ24" s="66">
        <v>762147</v>
      </c>
      <c r="AR24" s="65">
        <v>514806</v>
      </c>
      <c r="AS24" s="65">
        <v>365195</v>
      </c>
      <c r="AT24" s="65">
        <v>728501</v>
      </c>
      <c r="AU24" s="65">
        <v>376151</v>
      </c>
      <c r="AV24" s="65">
        <v>392775</v>
      </c>
      <c r="AW24" s="65">
        <v>236294</v>
      </c>
      <c r="AX24" s="66">
        <v>795850</v>
      </c>
      <c r="AY24" s="65">
        <v>2074837</v>
      </c>
      <c r="AZ24" s="66">
        <v>0</v>
      </c>
      <c r="BA24" s="65">
        <v>7098952</v>
      </c>
      <c r="BB24" s="65">
        <v>184860</v>
      </c>
      <c r="BC24" s="65">
        <v>4651102</v>
      </c>
      <c r="BD24" s="65">
        <v>1055314</v>
      </c>
      <c r="BE24" s="69">
        <v>100281</v>
      </c>
      <c r="BF24" s="65">
        <v>944337</v>
      </c>
      <c r="BG24" s="66">
        <v>163059</v>
      </c>
      <c r="BH24" s="65">
        <v>6568833</v>
      </c>
      <c r="BI24" s="66">
        <v>3531621</v>
      </c>
      <c r="BJ24" s="65">
        <v>1103502</v>
      </c>
      <c r="BK24" s="65">
        <v>491021</v>
      </c>
      <c r="BL24" s="65">
        <v>1277668</v>
      </c>
      <c r="BM24" s="65">
        <v>63989</v>
      </c>
      <c r="BN24" s="66">
        <v>101032</v>
      </c>
      <c r="BO24" s="66">
        <v>42681196</v>
      </c>
      <c r="BP24" s="65">
        <v>8904555</v>
      </c>
      <c r="BQ24" s="65">
        <v>1635928</v>
      </c>
      <c r="BR24" s="66">
        <v>3909628</v>
      </c>
      <c r="BS24" s="66">
        <v>28231086</v>
      </c>
      <c r="BT24" s="65">
        <v>15823139</v>
      </c>
      <c r="BU24" s="65">
        <v>14883366</v>
      </c>
      <c r="BV24" s="65">
        <v>870064</v>
      </c>
      <c r="BW24" s="67">
        <v>69709</v>
      </c>
      <c r="BX24" s="65">
        <v>8146930</v>
      </c>
      <c r="BY24" s="65">
        <v>482842439</v>
      </c>
      <c r="BZ24" s="66">
        <v>3812703</v>
      </c>
      <c r="CA24" s="65">
        <v>3383209</v>
      </c>
      <c r="CB24" s="66">
        <v>429495</v>
      </c>
      <c r="CC24" s="66">
        <v>397598</v>
      </c>
      <c r="CD24" s="65">
        <v>15957979</v>
      </c>
      <c r="CE24" s="65">
        <v>15092110</v>
      </c>
      <c r="CF24" s="65">
        <v>586057</v>
      </c>
      <c r="CG24" s="65">
        <v>279812</v>
      </c>
      <c r="CH24" s="65">
        <v>1340361</v>
      </c>
      <c r="CI24" s="66">
        <v>618818</v>
      </c>
      <c r="CJ24" s="66">
        <v>721543</v>
      </c>
      <c r="CK24" s="65">
        <v>4670446</v>
      </c>
      <c r="CL24" s="65">
        <v>2344468</v>
      </c>
      <c r="CM24" s="65">
        <v>2325978</v>
      </c>
      <c r="CN24" s="65">
        <v>2568381</v>
      </c>
      <c r="CO24" s="65">
        <v>1641256</v>
      </c>
      <c r="CP24" s="65">
        <v>912846</v>
      </c>
      <c r="CQ24" s="69">
        <v>14278</v>
      </c>
      <c r="CR24" s="66">
        <v>0</v>
      </c>
    </row>
    <row r="25" spans="1:96" s="68" customFormat="1" ht="10.199999999999999" x14ac:dyDescent="0.2">
      <c r="A25" s="64" t="s">
        <v>213</v>
      </c>
      <c r="B25" s="65">
        <v>4846875344</v>
      </c>
      <c r="C25" s="65">
        <v>797210</v>
      </c>
      <c r="D25" s="65">
        <v>715047</v>
      </c>
      <c r="E25" s="69">
        <v>74662</v>
      </c>
      <c r="F25" s="69">
        <v>7500</v>
      </c>
      <c r="G25" s="65">
        <v>98532</v>
      </c>
      <c r="H25" s="67">
        <v>2867433</v>
      </c>
      <c r="I25" s="65">
        <v>4079938</v>
      </c>
      <c r="J25" s="66">
        <v>2484894</v>
      </c>
      <c r="K25" s="65">
        <v>1351491</v>
      </c>
      <c r="L25" s="65">
        <v>243552</v>
      </c>
      <c r="M25" s="65">
        <v>3816368</v>
      </c>
      <c r="N25" s="65">
        <v>37540</v>
      </c>
      <c r="O25" s="67">
        <v>14717</v>
      </c>
      <c r="P25" s="69">
        <v>1256</v>
      </c>
      <c r="Q25" s="67">
        <v>92844</v>
      </c>
      <c r="R25" s="66">
        <v>0</v>
      </c>
      <c r="S25" s="69">
        <v>42610</v>
      </c>
      <c r="T25" s="69">
        <v>18922</v>
      </c>
      <c r="U25" s="69">
        <v>8589</v>
      </c>
      <c r="V25" s="69">
        <v>12390</v>
      </c>
      <c r="W25" s="69">
        <v>58489</v>
      </c>
      <c r="X25" s="67">
        <v>33673</v>
      </c>
      <c r="Y25" s="67">
        <v>190839</v>
      </c>
      <c r="Z25" s="66">
        <v>3864</v>
      </c>
      <c r="AA25" s="65">
        <v>114273</v>
      </c>
      <c r="AB25" s="69">
        <v>162366</v>
      </c>
      <c r="AC25" s="69">
        <v>103912</v>
      </c>
      <c r="AD25" s="65">
        <v>2824173</v>
      </c>
      <c r="AE25" s="69">
        <v>40200</v>
      </c>
      <c r="AF25" s="67">
        <v>3117</v>
      </c>
      <c r="AG25" s="66">
        <v>52592</v>
      </c>
      <c r="AH25" s="66">
        <v>2679254</v>
      </c>
      <c r="AI25" s="65">
        <v>1779242</v>
      </c>
      <c r="AJ25" s="65">
        <v>503784</v>
      </c>
      <c r="AK25" s="65">
        <v>1275458</v>
      </c>
      <c r="AL25" s="65">
        <v>0</v>
      </c>
      <c r="AM25" s="65">
        <v>900012</v>
      </c>
      <c r="AN25" s="65">
        <v>81845</v>
      </c>
      <c r="AO25" s="67">
        <v>17160</v>
      </c>
      <c r="AP25" s="69">
        <v>13604</v>
      </c>
      <c r="AQ25" s="66">
        <v>148474</v>
      </c>
      <c r="AR25" s="65">
        <v>142997</v>
      </c>
      <c r="AS25" s="69">
        <v>11491</v>
      </c>
      <c r="AT25" s="65">
        <v>86097</v>
      </c>
      <c r="AU25" s="65">
        <v>615</v>
      </c>
      <c r="AV25" s="69">
        <v>16735</v>
      </c>
      <c r="AW25" s="69">
        <v>18991</v>
      </c>
      <c r="AX25" s="66">
        <v>274663</v>
      </c>
      <c r="AY25" s="69">
        <v>87340</v>
      </c>
      <c r="AZ25" s="66">
        <v>0</v>
      </c>
      <c r="BA25" s="65">
        <v>296587</v>
      </c>
      <c r="BB25" s="65">
        <v>34000</v>
      </c>
      <c r="BC25" s="69">
        <v>52913</v>
      </c>
      <c r="BD25" s="69">
        <v>118301</v>
      </c>
      <c r="BE25" s="65">
        <v>0</v>
      </c>
      <c r="BF25" s="69">
        <v>26896</v>
      </c>
      <c r="BG25" s="67">
        <v>64476</v>
      </c>
      <c r="BH25" s="65">
        <v>829986</v>
      </c>
      <c r="BI25" s="67">
        <v>369721</v>
      </c>
      <c r="BJ25" s="69">
        <v>236286</v>
      </c>
      <c r="BK25" s="69">
        <v>210680</v>
      </c>
      <c r="BL25" s="69">
        <v>11907</v>
      </c>
      <c r="BM25" s="65">
        <v>0</v>
      </c>
      <c r="BN25" s="66">
        <v>1392</v>
      </c>
      <c r="BO25" s="66">
        <v>2989731159</v>
      </c>
      <c r="BP25" s="65">
        <v>2118386881</v>
      </c>
      <c r="BQ25" s="65">
        <v>6653977</v>
      </c>
      <c r="BR25" s="66">
        <v>476320652</v>
      </c>
      <c r="BS25" s="66">
        <v>388369649</v>
      </c>
      <c r="BT25" s="65">
        <v>27342424</v>
      </c>
      <c r="BU25" s="65">
        <v>26942019</v>
      </c>
      <c r="BV25" s="65">
        <v>400405</v>
      </c>
      <c r="BW25" s="66">
        <v>0</v>
      </c>
      <c r="BX25" s="65">
        <v>1451634</v>
      </c>
      <c r="BY25" s="65">
        <v>1810608373</v>
      </c>
      <c r="BZ25" s="66">
        <v>162824</v>
      </c>
      <c r="CA25" s="65">
        <v>162824</v>
      </c>
      <c r="CB25" s="66">
        <v>0</v>
      </c>
      <c r="CC25" s="67">
        <v>64250</v>
      </c>
      <c r="CD25" s="65">
        <v>209051</v>
      </c>
      <c r="CE25" s="65">
        <v>127283</v>
      </c>
      <c r="CF25" s="69">
        <v>23694</v>
      </c>
      <c r="CG25" s="69">
        <v>58074</v>
      </c>
      <c r="CH25" s="65">
        <v>649984</v>
      </c>
      <c r="CI25" s="67">
        <v>93189</v>
      </c>
      <c r="CJ25" s="67">
        <v>556795</v>
      </c>
      <c r="CK25" s="65">
        <v>1064868</v>
      </c>
      <c r="CL25" s="65">
        <v>636395</v>
      </c>
      <c r="CM25" s="65">
        <v>428473</v>
      </c>
      <c r="CN25" s="65">
        <v>125467</v>
      </c>
      <c r="CO25" s="69">
        <v>59009</v>
      </c>
      <c r="CP25" s="69">
        <v>41567</v>
      </c>
      <c r="CQ25" s="69">
        <v>24892</v>
      </c>
      <c r="CR25" s="66">
        <v>0</v>
      </c>
    </row>
    <row r="26" spans="1:96" s="68" customFormat="1" ht="10.199999999999999" x14ac:dyDescent="0.2">
      <c r="A26" s="64" t="s">
        <v>214</v>
      </c>
      <c r="B26" s="65">
        <v>27573505524</v>
      </c>
      <c r="C26" s="65">
        <v>15274733</v>
      </c>
      <c r="D26" s="65">
        <v>11099975</v>
      </c>
      <c r="E26" s="65">
        <v>2596826</v>
      </c>
      <c r="F26" s="65">
        <v>1577932</v>
      </c>
      <c r="G26" s="65">
        <v>144192211</v>
      </c>
      <c r="H26" s="66">
        <v>149900999</v>
      </c>
      <c r="I26" s="65">
        <v>73400033</v>
      </c>
      <c r="J26" s="66">
        <v>33293937</v>
      </c>
      <c r="K26" s="65">
        <v>29671605</v>
      </c>
      <c r="L26" s="65">
        <v>10434491</v>
      </c>
      <c r="M26" s="65">
        <v>3336121860</v>
      </c>
      <c r="N26" s="65">
        <v>180698045</v>
      </c>
      <c r="O26" s="66">
        <v>56869973</v>
      </c>
      <c r="P26" s="65">
        <v>7009354</v>
      </c>
      <c r="Q26" s="66">
        <v>4052083</v>
      </c>
      <c r="R26" s="66">
        <v>718043</v>
      </c>
      <c r="S26" s="65">
        <v>5124066</v>
      </c>
      <c r="T26" s="65">
        <v>96859497</v>
      </c>
      <c r="U26" s="65">
        <v>6085242</v>
      </c>
      <c r="V26" s="65">
        <v>767210299</v>
      </c>
      <c r="W26" s="65">
        <v>658017799</v>
      </c>
      <c r="X26" s="66">
        <v>28365724</v>
      </c>
      <c r="Y26" s="66">
        <v>51429284</v>
      </c>
      <c r="Z26" s="66">
        <v>64026913</v>
      </c>
      <c r="AA26" s="65">
        <v>148369569</v>
      </c>
      <c r="AB26" s="65">
        <v>107998359</v>
      </c>
      <c r="AC26" s="65">
        <v>320330186</v>
      </c>
      <c r="AD26" s="65">
        <v>502897118</v>
      </c>
      <c r="AE26" s="65">
        <v>273819209</v>
      </c>
      <c r="AF26" s="66">
        <v>4163231</v>
      </c>
      <c r="AG26" s="66">
        <v>52077866</v>
      </c>
      <c r="AH26" s="66">
        <v>680100073</v>
      </c>
      <c r="AI26" s="65">
        <v>463606830</v>
      </c>
      <c r="AJ26" s="65">
        <v>72425974</v>
      </c>
      <c r="AK26" s="65">
        <v>390976448</v>
      </c>
      <c r="AL26" s="65">
        <v>204408</v>
      </c>
      <c r="AM26" s="65">
        <v>216493243</v>
      </c>
      <c r="AN26" s="65">
        <v>12407052</v>
      </c>
      <c r="AO26" s="66">
        <v>1103778</v>
      </c>
      <c r="AP26" s="65">
        <v>7166079</v>
      </c>
      <c r="AQ26" s="66">
        <v>17277218</v>
      </c>
      <c r="AR26" s="65">
        <v>19931380</v>
      </c>
      <c r="AS26" s="65">
        <v>6226683</v>
      </c>
      <c r="AT26" s="65">
        <v>2746965</v>
      </c>
      <c r="AU26" s="65">
        <v>7053136</v>
      </c>
      <c r="AV26" s="65">
        <v>1374200</v>
      </c>
      <c r="AW26" s="65">
        <v>100812098</v>
      </c>
      <c r="AX26" s="66">
        <v>5591765</v>
      </c>
      <c r="AY26" s="65">
        <v>34802889</v>
      </c>
      <c r="AZ26" s="66">
        <v>0</v>
      </c>
      <c r="BA26" s="65">
        <v>62823717</v>
      </c>
      <c r="BB26" s="65">
        <v>21969760</v>
      </c>
      <c r="BC26" s="65">
        <v>6381646</v>
      </c>
      <c r="BD26" s="65">
        <v>1104389</v>
      </c>
      <c r="BE26" s="65">
        <v>6044243</v>
      </c>
      <c r="BF26" s="65">
        <v>18791247</v>
      </c>
      <c r="BG26" s="66">
        <v>8532432</v>
      </c>
      <c r="BH26" s="65">
        <v>628530822</v>
      </c>
      <c r="BI26" s="66">
        <v>75403057</v>
      </c>
      <c r="BJ26" s="65">
        <v>48748753</v>
      </c>
      <c r="BK26" s="65">
        <v>55314341</v>
      </c>
      <c r="BL26" s="65">
        <v>426454790</v>
      </c>
      <c r="BM26" s="65">
        <v>3684913</v>
      </c>
      <c r="BN26" s="66">
        <v>18924967</v>
      </c>
      <c r="BO26" s="66">
        <v>17518374517</v>
      </c>
      <c r="BP26" s="65">
        <v>565809059</v>
      </c>
      <c r="BQ26" s="65">
        <v>1393382900</v>
      </c>
      <c r="BR26" s="66">
        <v>4315621152</v>
      </c>
      <c r="BS26" s="66">
        <v>11243561406</v>
      </c>
      <c r="BT26" s="65">
        <v>307000832</v>
      </c>
      <c r="BU26" s="65">
        <v>283050629</v>
      </c>
      <c r="BV26" s="65">
        <v>16782980</v>
      </c>
      <c r="BW26" s="66">
        <v>7167223</v>
      </c>
      <c r="BX26" s="65">
        <v>166851206</v>
      </c>
      <c r="BY26" s="65">
        <v>4257230927</v>
      </c>
      <c r="BZ26" s="66">
        <v>48633076</v>
      </c>
      <c r="CA26" s="65">
        <v>44580803</v>
      </c>
      <c r="CB26" s="66">
        <v>4052274</v>
      </c>
      <c r="CC26" s="66">
        <v>7220446</v>
      </c>
      <c r="CD26" s="65">
        <v>47439032</v>
      </c>
      <c r="CE26" s="65">
        <v>10964163</v>
      </c>
      <c r="CF26" s="65">
        <v>4658301</v>
      </c>
      <c r="CG26" s="65">
        <v>31816567</v>
      </c>
      <c r="CH26" s="65">
        <v>11352112</v>
      </c>
      <c r="CI26" s="66">
        <v>5330192</v>
      </c>
      <c r="CJ26" s="66">
        <v>6021920</v>
      </c>
      <c r="CK26" s="65">
        <v>106553505</v>
      </c>
      <c r="CL26" s="65">
        <v>71000961</v>
      </c>
      <c r="CM26" s="65">
        <v>35552544</v>
      </c>
      <c r="CN26" s="65">
        <v>12421218</v>
      </c>
      <c r="CO26" s="65">
        <v>7053299</v>
      </c>
      <c r="CP26" s="65">
        <v>4389723</v>
      </c>
      <c r="CQ26" s="65">
        <v>978196</v>
      </c>
      <c r="CR26" s="67">
        <v>84205</v>
      </c>
    </row>
    <row r="27" spans="1:96" s="68" customFormat="1" ht="10.199999999999999" x14ac:dyDescent="0.2">
      <c r="A27" s="64" t="s">
        <v>33</v>
      </c>
      <c r="B27" s="65">
        <v>9613451456</v>
      </c>
      <c r="C27" s="65">
        <v>116459732</v>
      </c>
      <c r="D27" s="65">
        <v>92371054</v>
      </c>
      <c r="E27" s="65">
        <v>8387152</v>
      </c>
      <c r="F27" s="65">
        <v>15701525</v>
      </c>
      <c r="G27" s="65">
        <v>299627463</v>
      </c>
      <c r="H27" s="66">
        <v>1252578357</v>
      </c>
      <c r="I27" s="65">
        <v>278325579</v>
      </c>
      <c r="J27" s="66">
        <v>52962587</v>
      </c>
      <c r="K27" s="65">
        <v>96774968</v>
      </c>
      <c r="L27" s="65">
        <v>128588024</v>
      </c>
      <c r="M27" s="65">
        <v>2696426989</v>
      </c>
      <c r="N27" s="65">
        <v>186417719</v>
      </c>
      <c r="O27" s="66">
        <v>59697806</v>
      </c>
      <c r="P27" s="65">
        <v>16846674</v>
      </c>
      <c r="Q27" s="66">
        <v>10100967</v>
      </c>
      <c r="R27" s="66">
        <v>1855405</v>
      </c>
      <c r="S27" s="65">
        <v>43151734</v>
      </c>
      <c r="T27" s="65">
        <v>133658506</v>
      </c>
      <c r="U27" s="65">
        <v>44469530</v>
      </c>
      <c r="V27" s="65">
        <v>390910125</v>
      </c>
      <c r="W27" s="65">
        <v>401083353</v>
      </c>
      <c r="X27" s="66">
        <v>82977887</v>
      </c>
      <c r="Y27" s="66">
        <v>95539715</v>
      </c>
      <c r="Z27" s="66">
        <v>118165275</v>
      </c>
      <c r="AA27" s="65">
        <v>131192500</v>
      </c>
      <c r="AB27" s="65">
        <v>133551989</v>
      </c>
      <c r="AC27" s="65">
        <v>231363266</v>
      </c>
      <c r="AD27" s="65">
        <v>142119118</v>
      </c>
      <c r="AE27" s="65">
        <v>373448354</v>
      </c>
      <c r="AF27" s="66">
        <v>20916476</v>
      </c>
      <c r="AG27" s="66">
        <v>78960589</v>
      </c>
      <c r="AH27" s="66">
        <v>1148450584</v>
      </c>
      <c r="AI27" s="65">
        <v>486518378</v>
      </c>
      <c r="AJ27" s="65">
        <v>227512923</v>
      </c>
      <c r="AK27" s="65">
        <v>258387785</v>
      </c>
      <c r="AL27" s="65">
        <v>617670</v>
      </c>
      <c r="AM27" s="65">
        <v>661932205</v>
      </c>
      <c r="AN27" s="65">
        <v>58341462</v>
      </c>
      <c r="AO27" s="66">
        <v>19835664</v>
      </c>
      <c r="AP27" s="65">
        <v>13525334</v>
      </c>
      <c r="AQ27" s="66">
        <v>71781365</v>
      </c>
      <c r="AR27" s="65">
        <v>140754989</v>
      </c>
      <c r="AS27" s="65">
        <v>37030964</v>
      </c>
      <c r="AT27" s="65">
        <v>38021858</v>
      </c>
      <c r="AU27" s="65">
        <v>58612003</v>
      </c>
      <c r="AV27" s="65">
        <v>25120440</v>
      </c>
      <c r="AW27" s="65">
        <v>148162237</v>
      </c>
      <c r="AX27" s="66">
        <v>24983512</v>
      </c>
      <c r="AY27" s="65">
        <v>25762378</v>
      </c>
      <c r="AZ27" s="66">
        <v>0</v>
      </c>
      <c r="BA27" s="65">
        <v>615165448</v>
      </c>
      <c r="BB27" s="65">
        <v>354771269</v>
      </c>
      <c r="BC27" s="65">
        <v>94501377</v>
      </c>
      <c r="BD27" s="65">
        <v>11889586</v>
      </c>
      <c r="BE27" s="65">
        <v>48092518</v>
      </c>
      <c r="BF27" s="65">
        <v>88377317</v>
      </c>
      <c r="BG27" s="66">
        <v>17533381</v>
      </c>
      <c r="BH27" s="65">
        <v>911200847</v>
      </c>
      <c r="BI27" s="66">
        <v>78624047</v>
      </c>
      <c r="BJ27" s="65">
        <v>30593720</v>
      </c>
      <c r="BK27" s="65">
        <v>66564103</v>
      </c>
      <c r="BL27" s="65">
        <v>696099704</v>
      </c>
      <c r="BM27" s="65">
        <v>18864609</v>
      </c>
      <c r="BN27" s="66">
        <v>20454664</v>
      </c>
      <c r="BO27" s="66">
        <v>321812521</v>
      </c>
      <c r="BP27" s="65">
        <v>97402821</v>
      </c>
      <c r="BQ27" s="65">
        <v>61065731</v>
      </c>
      <c r="BR27" s="66">
        <v>139700676</v>
      </c>
      <c r="BS27" s="66">
        <v>23643294</v>
      </c>
      <c r="BT27" s="65">
        <v>860850806</v>
      </c>
      <c r="BU27" s="65">
        <v>692930777</v>
      </c>
      <c r="BV27" s="65">
        <v>166555231</v>
      </c>
      <c r="BW27" s="66">
        <v>1364798</v>
      </c>
      <c r="BX27" s="65">
        <v>170629550</v>
      </c>
      <c r="BY27" s="65">
        <v>200076072</v>
      </c>
      <c r="BZ27" s="66">
        <v>132941631</v>
      </c>
      <c r="CA27" s="65">
        <v>72994803</v>
      </c>
      <c r="CB27" s="66">
        <v>59946828</v>
      </c>
      <c r="CC27" s="66">
        <v>17380975</v>
      </c>
      <c r="CD27" s="65">
        <v>170477399</v>
      </c>
      <c r="CE27" s="65">
        <v>77870596</v>
      </c>
      <c r="CF27" s="65">
        <v>25190920</v>
      </c>
      <c r="CG27" s="65">
        <v>67415883</v>
      </c>
      <c r="CH27" s="65">
        <v>77199144</v>
      </c>
      <c r="CI27" s="66">
        <v>17621329</v>
      </c>
      <c r="CJ27" s="66">
        <v>59577815</v>
      </c>
      <c r="CK27" s="65">
        <v>274551510</v>
      </c>
      <c r="CL27" s="65">
        <v>127558995</v>
      </c>
      <c r="CM27" s="65">
        <v>146992515</v>
      </c>
      <c r="CN27" s="65">
        <v>69296849</v>
      </c>
      <c r="CO27" s="65">
        <v>28906010</v>
      </c>
      <c r="CP27" s="65">
        <v>34843493</v>
      </c>
      <c r="CQ27" s="65">
        <v>5547346</v>
      </c>
      <c r="CR27" s="66">
        <v>0</v>
      </c>
    </row>
    <row r="28" spans="1:96" s="68" customFormat="1" ht="10.199999999999999" x14ac:dyDescent="0.2">
      <c r="A28" s="64" t="s">
        <v>34</v>
      </c>
      <c r="B28" s="65">
        <v>4711042846</v>
      </c>
      <c r="C28" s="65">
        <v>81398599</v>
      </c>
      <c r="D28" s="65">
        <v>63307838</v>
      </c>
      <c r="E28" s="65">
        <v>6454540</v>
      </c>
      <c r="F28" s="65">
        <v>11636221</v>
      </c>
      <c r="G28" s="65">
        <v>134317280</v>
      </c>
      <c r="H28" s="66">
        <v>402456054</v>
      </c>
      <c r="I28" s="65">
        <v>185333384</v>
      </c>
      <c r="J28" s="66">
        <v>30912499</v>
      </c>
      <c r="K28" s="65">
        <v>59031493</v>
      </c>
      <c r="L28" s="65">
        <v>95389391</v>
      </c>
      <c r="M28" s="65">
        <v>1545325951</v>
      </c>
      <c r="N28" s="65">
        <v>102202889</v>
      </c>
      <c r="O28" s="66">
        <v>29533392</v>
      </c>
      <c r="P28" s="65">
        <v>11912263</v>
      </c>
      <c r="Q28" s="66">
        <v>6807574</v>
      </c>
      <c r="R28" s="66">
        <v>1319060</v>
      </c>
      <c r="S28" s="65">
        <v>27437289</v>
      </c>
      <c r="T28" s="65">
        <v>78276939</v>
      </c>
      <c r="U28" s="65">
        <v>30317845</v>
      </c>
      <c r="V28" s="65">
        <v>195817742</v>
      </c>
      <c r="W28" s="65">
        <v>226278345</v>
      </c>
      <c r="X28" s="66">
        <v>52689071</v>
      </c>
      <c r="Y28" s="66">
        <v>49587204</v>
      </c>
      <c r="Z28" s="66">
        <v>62496775</v>
      </c>
      <c r="AA28" s="65">
        <v>88882817</v>
      </c>
      <c r="AB28" s="65">
        <v>81154766</v>
      </c>
      <c r="AC28" s="65">
        <v>151596747</v>
      </c>
      <c r="AD28" s="65">
        <v>85059138</v>
      </c>
      <c r="AE28" s="65">
        <v>203481456</v>
      </c>
      <c r="AF28" s="66">
        <v>14322514</v>
      </c>
      <c r="AG28" s="66">
        <v>46152124</v>
      </c>
      <c r="AH28" s="66">
        <v>601902567</v>
      </c>
      <c r="AI28" s="65">
        <v>265283471</v>
      </c>
      <c r="AJ28" s="65">
        <v>129153951</v>
      </c>
      <c r="AK28" s="65">
        <v>135672600</v>
      </c>
      <c r="AL28" s="65">
        <v>456920</v>
      </c>
      <c r="AM28" s="65">
        <v>336619096</v>
      </c>
      <c r="AN28" s="65">
        <v>32061639</v>
      </c>
      <c r="AO28" s="66">
        <v>10932421</v>
      </c>
      <c r="AP28" s="65">
        <v>7996701</v>
      </c>
      <c r="AQ28" s="66">
        <v>34759193</v>
      </c>
      <c r="AR28" s="65">
        <v>73261499</v>
      </c>
      <c r="AS28" s="65">
        <v>17319538</v>
      </c>
      <c r="AT28" s="65">
        <v>19242247</v>
      </c>
      <c r="AU28" s="65">
        <v>33961771</v>
      </c>
      <c r="AV28" s="65">
        <v>14722010</v>
      </c>
      <c r="AW28" s="65">
        <v>60927050</v>
      </c>
      <c r="AX28" s="66">
        <v>15639918</v>
      </c>
      <c r="AY28" s="65">
        <v>15795108</v>
      </c>
      <c r="AZ28" s="66">
        <v>0</v>
      </c>
      <c r="BA28" s="65">
        <v>250985222</v>
      </c>
      <c r="BB28" s="65">
        <v>100156131</v>
      </c>
      <c r="BC28" s="65">
        <v>60367833</v>
      </c>
      <c r="BD28" s="65">
        <v>6735684</v>
      </c>
      <c r="BE28" s="65">
        <v>27380386</v>
      </c>
      <c r="BF28" s="65">
        <v>48194684</v>
      </c>
      <c r="BG28" s="66">
        <v>8150504</v>
      </c>
      <c r="BH28" s="65">
        <v>537872151</v>
      </c>
      <c r="BI28" s="66">
        <v>48876350</v>
      </c>
      <c r="BJ28" s="65">
        <v>17152337</v>
      </c>
      <c r="BK28" s="65">
        <v>37606650</v>
      </c>
      <c r="BL28" s="65">
        <v>412300945</v>
      </c>
      <c r="BM28" s="65">
        <v>10340138</v>
      </c>
      <c r="BN28" s="66">
        <v>11595731</v>
      </c>
      <c r="BO28" s="66">
        <v>118454210</v>
      </c>
      <c r="BP28" s="65">
        <v>38812090</v>
      </c>
      <c r="BQ28" s="65">
        <v>32367647</v>
      </c>
      <c r="BR28" s="66">
        <v>43617132</v>
      </c>
      <c r="BS28" s="66">
        <v>3657341</v>
      </c>
      <c r="BT28" s="65">
        <v>264996885</v>
      </c>
      <c r="BU28" s="65">
        <v>185591909</v>
      </c>
      <c r="BV28" s="65">
        <v>78836262</v>
      </c>
      <c r="BW28" s="66">
        <v>568715</v>
      </c>
      <c r="BX28" s="65">
        <v>106583972</v>
      </c>
      <c r="BY28" s="65">
        <v>98875298</v>
      </c>
      <c r="BZ28" s="66">
        <v>77692520</v>
      </c>
      <c r="CA28" s="65">
        <v>45845992</v>
      </c>
      <c r="CB28" s="66">
        <v>31846528</v>
      </c>
      <c r="CC28" s="66">
        <v>9148362</v>
      </c>
      <c r="CD28" s="65">
        <v>95496386</v>
      </c>
      <c r="CE28" s="65">
        <v>54010741</v>
      </c>
      <c r="CF28" s="65">
        <v>14741183</v>
      </c>
      <c r="CG28" s="65">
        <v>26744462</v>
      </c>
      <c r="CH28" s="65">
        <v>37310198</v>
      </c>
      <c r="CI28" s="66">
        <v>8567981</v>
      </c>
      <c r="CJ28" s="66">
        <v>28742217</v>
      </c>
      <c r="CK28" s="65">
        <v>119859511</v>
      </c>
      <c r="CL28" s="65">
        <v>42190761</v>
      </c>
      <c r="CM28" s="65">
        <v>77668751</v>
      </c>
      <c r="CN28" s="65">
        <v>43034296</v>
      </c>
      <c r="CO28" s="65">
        <v>19451313</v>
      </c>
      <c r="CP28" s="65">
        <v>20597467</v>
      </c>
      <c r="CQ28" s="65">
        <v>2985515</v>
      </c>
      <c r="CR28" s="66">
        <v>0</v>
      </c>
    </row>
    <row r="29" spans="1:96" s="68" customFormat="1" ht="10.199999999999999" x14ac:dyDescent="0.2">
      <c r="A29" s="64" t="s">
        <v>215</v>
      </c>
      <c r="B29" s="65">
        <v>628841094</v>
      </c>
      <c r="C29" s="65">
        <v>4323344</v>
      </c>
      <c r="D29" s="65">
        <v>138804</v>
      </c>
      <c r="E29" s="65">
        <v>4156754</v>
      </c>
      <c r="F29" s="69">
        <v>27786</v>
      </c>
      <c r="G29" s="65">
        <v>414904341</v>
      </c>
      <c r="H29" s="66">
        <v>12366640</v>
      </c>
      <c r="I29" s="65">
        <v>1744137</v>
      </c>
      <c r="J29" s="66">
        <v>115778</v>
      </c>
      <c r="K29" s="65">
        <v>1442880</v>
      </c>
      <c r="L29" s="65">
        <v>185479</v>
      </c>
      <c r="M29" s="65">
        <v>140127082</v>
      </c>
      <c r="N29" s="69">
        <v>21023</v>
      </c>
      <c r="O29" s="66">
        <v>96000</v>
      </c>
      <c r="P29" s="65">
        <v>82</v>
      </c>
      <c r="Q29" s="67">
        <v>5341</v>
      </c>
      <c r="R29" s="66">
        <v>0</v>
      </c>
      <c r="S29" s="65">
        <v>6457446</v>
      </c>
      <c r="T29" s="65">
        <v>1077309</v>
      </c>
      <c r="U29" s="65">
        <v>0</v>
      </c>
      <c r="V29" s="65">
        <v>118430802</v>
      </c>
      <c r="W29" s="65">
        <v>2218644</v>
      </c>
      <c r="X29" s="66">
        <v>719</v>
      </c>
      <c r="Y29" s="66">
        <v>10162481</v>
      </c>
      <c r="Z29" s="66">
        <v>1178602</v>
      </c>
      <c r="AA29" s="69">
        <v>81718</v>
      </c>
      <c r="AB29" s="69">
        <v>244483</v>
      </c>
      <c r="AC29" s="69">
        <v>422</v>
      </c>
      <c r="AD29" s="65">
        <v>32718</v>
      </c>
      <c r="AE29" s="65">
        <v>47705</v>
      </c>
      <c r="AF29" s="67">
        <v>1973</v>
      </c>
      <c r="AG29" s="67">
        <v>69615</v>
      </c>
      <c r="AH29" s="66">
        <v>47584521</v>
      </c>
      <c r="AI29" s="65">
        <v>47481402</v>
      </c>
      <c r="AJ29" s="65">
        <v>349520</v>
      </c>
      <c r="AK29" s="65">
        <v>47131882</v>
      </c>
      <c r="AL29" s="65">
        <v>0</v>
      </c>
      <c r="AM29" s="65">
        <v>103119</v>
      </c>
      <c r="AN29" s="69">
        <v>14535</v>
      </c>
      <c r="AO29" s="66">
        <v>0</v>
      </c>
      <c r="AP29" s="65">
        <v>0</v>
      </c>
      <c r="AQ29" s="67">
        <v>79275</v>
      </c>
      <c r="AR29" s="69">
        <v>7135</v>
      </c>
      <c r="AS29" s="69">
        <v>701</v>
      </c>
      <c r="AT29" s="65">
        <v>1392</v>
      </c>
      <c r="AU29" s="65">
        <v>0</v>
      </c>
      <c r="AV29" s="65">
        <v>0</v>
      </c>
      <c r="AW29" s="65">
        <v>0</v>
      </c>
      <c r="AX29" s="66">
        <v>0</v>
      </c>
      <c r="AY29" s="69">
        <v>81</v>
      </c>
      <c r="AZ29" s="66">
        <v>0</v>
      </c>
      <c r="BA29" s="69">
        <v>7719</v>
      </c>
      <c r="BB29" s="65">
        <v>805</v>
      </c>
      <c r="BC29" s="69">
        <v>2986</v>
      </c>
      <c r="BD29" s="65">
        <v>739</v>
      </c>
      <c r="BE29" s="69">
        <v>2372</v>
      </c>
      <c r="BF29" s="69">
        <v>816</v>
      </c>
      <c r="BG29" s="66">
        <v>0</v>
      </c>
      <c r="BH29" s="69">
        <v>330830</v>
      </c>
      <c r="BI29" s="67">
        <v>35821</v>
      </c>
      <c r="BJ29" s="65">
        <v>273029</v>
      </c>
      <c r="BK29" s="65">
        <v>600</v>
      </c>
      <c r="BL29" s="69">
        <v>4133</v>
      </c>
      <c r="BM29" s="65">
        <v>17247</v>
      </c>
      <c r="BN29" s="66">
        <v>0</v>
      </c>
      <c r="BO29" s="66">
        <v>3496844</v>
      </c>
      <c r="BP29" s="69">
        <v>3794</v>
      </c>
      <c r="BQ29" s="65">
        <v>285242</v>
      </c>
      <c r="BR29" s="66">
        <v>3201608</v>
      </c>
      <c r="BS29" s="66">
        <v>6200</v>
      </c>
      <c r="BT29" s="65">
        <v>818156</v>
      </c>
      <c r="BU29" s="65">
        <v>755967</v>
      </c>
      <c r="BV29" s="69">
        <v>35038</v>
      </c>
      <c r="BW29" s="67">
        <v>27151</v>
      </c>
      <c r="BX29" s="65">
        <v>227961</v>
      </c>
      <c r="BY29" s="65">
        <v>334191</v>
      </c>
      <c r="BZ29" s="66">
        <v>2518919</v>
      </c>
      <c r="CA29" s="69">
        <v>11937</v>
      </c>
      <c r="CB29" s="67">
        <v>2506983</v>
      </c>
      <c r="CC29" s="67">
        <v>4183</v>
      </c>
      <c r="CD29" s="69">
        <v>620</v>
      </c>
      <c r="CE29" s="65" t="s">
        <v>291</v>
      </c>
      <c r="CF29" s="65">
        <v>0</v>
      </c>
      <c r="CG29" s="69">
        <v>620</v>
      </c>
      <c r="CH29" s="69">
        <v>1912</v>
      </c>
      <c r="CI29" s="67">
        <v>370</v>
      </c>
      <c r="CJ29" s="67">
        <v>1541</v>
      </c>
      <c r="CK29" s="69">
        <v>39738</v>
      </c>
      <c r="CL29" s="65">
        <v>11263</v>
      </c>
      <c r="CM29" s="69">
        <v>28474</v>
      </c>
      <c r="CN29" s="69">
        <v>9955</v>
      </c>
      <c r="CO29" s="69">
        <v>9241</v>
      </c>
      <c r="CP29" s="69">
        <v>714</v>
      </c>
      <c r="CQ29" s="65">
        <v>0</v>
      </c>
      <c r="CR29" s="66">
        <v>0</v>
      </c>
    </row>
    <row r="30" spans="1:96" s="68" customFormat="1" ht="10.199999999999999" x14ac:dyDescent="0.2">
      <c r="A30" s="64" t="s">
        <v>216</v>
      </c>
      <c r="B30" s="65">
        <v>278707723</v>
      </c>
      <c r="C30" s="65">
        <v>384232</v>
      </c>
      <c r="D30" s="65">
        <v>31631</v>
      </c>
      <c r="E30" s="65">
        <v>345398</v>
      </c>
      <c r="F30" s="69">
        <v>7203</v>
      </c>
      <c r="G30" s="65">
        <v>197254791</v>
      </c>
      <c r="H30" s="66">
        <v>4173539</v>
      </c>
      <c r="I30" s="65">
        <v>516103</v>
      </c>
      <c r="J30" s="66">
        <v>42754</v>
      </c>
      <c r="K30" s="65">
        <v>447021</v>
      </c>
      <c r="L30" s="65">
        <v>26327</v>
      </c>
      <c r="M30" s="65">
        <v>64958666</v>
      </c>
      <c r="N30" s="65">
        <v>4728</v>
      </c>
      <c r="O30" s="66">
        <v>37155</v>
      </c>
      <c r="P30" s="65">
        <v>0</v>
      </c>
      <c r="Q30" s="66">
        <v>0</v>
      </c>
      <c r="R30" s="66">
        <v>0</v>
      </c>
      <c r="S30" s="65">
        <v>122534</v>
      </c>
      <c r="T30" s="65">
        <v>260242</v>
      </c>
      <c r="U30" s="65">
        <v>0</v>
      </c>
      <c r="V30" s="65">
        <v>61727562</v>
      </c>
      <c r="W30" s="65">
        <v>933574</v>
      </c>
      <c r="X30" s="66">
        <v>584</v>
      </c>
      <c r="Y30" s="66">
        <v>1192952</v>
      </c>
      <c r="Z30" s="67">
        <v>420043</v>
      </c>
      <c r="AA30" s="69">
        <v>15234</v>
      </c>
      <c r="AB30" s="69">
        <v>173576</v>
      </c>
      <c r="AC30" s="69">
        <v>11</v>
      </c>
      <c r="AD30" s="65">
        <v>5974</v>
      </c>
      <c r="AE30" s="65">
        <v>13273</v>
      </c>
      <c r="AF30" s="66">
        <v>266</v>
      </c>
      <c r="AG30" s="67">
        <v>50956</v>
      </c>
      <c r="AH30" s="66">
        <v>7682306</v>
      </c>
      <c r="AI30" s="65">
        <v>7636695</v>
      </c>
      <c r="AJ30" s="65">
        <v>160612</v>
      </c>
      <c r="AK30" s="65">
        <v>7476083</v>
      </c>
      <c r="AL30" s="65">
        <v>0</v>
      </c>
      <c r="AM30" s="65">
        <v>45610</v>
      </c>
      <c r="AN30" s="69">
        <v>7193</v>
      </c>
      <c r="AO30" s="66">
        <v>0</v>
      </c>
      <c r="AP30" s="65">
        <v>0</v>
      </c>
      <c r="AQ30" s="67">
        <v>36304</v>
      </c>
      <c r="AR30" s="69">
        <v>1993</v>
      </c>
      <c r="AS30" s="69">
        <v>70</v>
      </c>
      <c r="AT30" s="65">
        <v>0</v>
      </c>
      <c r="AU30" s="65">
        <v>0</v>
      </c>
      <c r="AV30" s="65">
        <v>0</v>
      </c>
      <c r="AW30" s="65">
        <v>0</v>
      </c>
      <c r="AX30" s="66">
        <v>0</v>
      </c>
      <c r="AY30" s="69">
        <v>51</v>
      </c>
      <c r="AZ30" s="66">
        <v>0</v>
      </c>
      <c r="BA30" s="69">
        <v>3992</v>
      </c>
      <c r="BB30" s="65" t="s">
        <v>291</v>
      </c>
      <c r="BC30" s="69">
        <v>937</v>
      </c>
      <c r="BD30" s="65">
        <v>683</v>
      </c>
      <c r="BE30" s="69">
        <v>2372</v>
      </c>
      <c r="BF30" s="65">
        <v>0</v>
      </c>
      <c r="BG30" s="66">
        <v>0</v>
      </c>
      <c r="BH30" s="69">
        <v>120391</v>
      </c>
      <c r="BI30" s="67">
        <v>24756</v>
      </c>
      <c r="BJ30" s="65">
        <v>76592</v>
      </c>
      <c r="BK30" s="65">
        <v>600</v>
      </c>
      <c r="BL30" s="69">
        <v>1195</v>
      </c>
      <c r="BM30" s="65">
        <v>17247</v>
      </c>
      <c r="BN30" s="66">
        <v>0</v>
      </c>
      <c r="BO30" s="66">
        <v>2301236</v>
      </c>
      <c r="BP30" s="69">
        <v>1539</v>
      </c>
      <c r="BQ30" s="69">
        <v>73766</v>
      </c>
      <c r="BR30" s="66">
        <v>2225932</v>
      </c>
      <c r="BS30" s="66">
        <v>0</v>
      </c>
      <c r="BT30" s="65">
        <v>84008</v>
      </c>
      <c r="BU30" s="65">
        <v>83801</v>
      </c>
      <c r="BV30" s="69">
        <v>207</v>
      </c>
      <c r="BW30" s="66">
        <v>0</v>
      </c>
      <c r="BX30" s="65">
        <v>78751</v>
      </c>
      <c r="BY30" s="65">
        <v>141030</v>
      </c>
      <c r="BZ30" s="66">
        <v>966199</v>
      </c>
      <c r="CA30" s="69">
        <v>4150</v>
      </c>
      <c r="CB30" s="67">
        <v>962049</v>
      </c>
      <c r="CC30" s="67">
        <v>3953</v>
      </c>
      <c r="CD30" s="65" t="s">
        <v>291</v>
      </c>
      <c r="CE30" s="65" t="s">
        <v>291</v>
      </c>
      <c r="CF30" s="65">
        <v>0</v>
      </c>
      <c r="CG30" s="65">
        <v>0</v>
      </c>
      <c r="CH30" s="69">
        <v>1872</v>
      </c>
      <c r="CI30" s="67">
        <v>331</v>
      </c>
      <c r="CJ30" s="67">
        <v>1541</v>
      </c>
      <c r="CK30" s="69">
        <v>30228</v>
      </c>
      <c r="CL30" s="65">
        <v>1754</v>
      </c>
      <c r="CM30" s="69">
        <v>28474</v>
      </c>
      <c r="CN30" s="69">
        <v>6427</v>
      </c>
      <c r="CO30" s="69">
        <v>6355</v>
      </c>
      <c r="CP30" s="69">
        <v>72</v>
      </c>
      <c r="CQ30" s="65">
        <v>0</v>
      </c>
      <c r="CR30" s="66">
        <v>0</v>
      </c>
    </row>
    <row r="31" spans="1:96" s="68" customFormat="1" ht="10.199999999999999" x14ac:dyDescent="0.2">
      <c r="A31" s="64" t="s">
        <v>217</v>
      </c>
      <c r="B31" s="65">
        <v>516544666</v>
      </c>
      <c r="C31" s="65">
        <v>24142418</v>
      </c>
      <c r="D31" s="65">
        <v>21247923</v>
      </c>
      <c r="E31" s="65">
        <v>2152244</v>
      </c>
      <c r="F31" s="65">
        <v>742252</v>
      </c>
      <c r="G31" s="65">
        <v>9352316</v>
      </c>
      <c r="H31" s="66">
        <v>4298055</v>
      </c>
      <c r="I31" s="65">
        <v>29453691</v>
      </c>
      <c r="J31" s="66">
        <v>11303131</v>
      </c>
      <c r="K31" s="65">
        <v>15504656</v>
      </c>
      <c r="L31" s="65">
        <v>2645903</v>
      </c>
      <c r="M31" s="65">
        <v>59726811</v>
      </c>
      <c r="N31" s="65">
        <v>4704025</v>
      </c>
      <c r="O31" s="66">
        <v>2659590</v>
      </c>
      <c r="P31" s="65">
        <v>253106</v>
      </c>
      <c r="Q31" s="66">
        <v>227538</v>
      </c>
      <c r="R31" s="66">
        <v>18665</v>
      </c>
      <c r="S31" s="65">
        <v>1552510</v>
      </c>
      <c r="T31" s="65">
        <v>1747788</v>
      </c>
      <c r="U31" s="65">
        <v>446695</v>
      </c>
      <c r="V31" s="65">
        <v>6981060</v>
      </c>
      <c r="W31" s="65">
        <v>9066982</v>
      </c>
      <c r="X31" s="66">
        <v>1092139</v>
      </c>
      <c r="Y31" s="66">
        <v>5691437</v>
      </c>
      <c r="Z31" s="66">
        <v>2749775</v>
      </c>
      <c r="AA31" s="65">
        <v>2405633</v>
      </c>
      <c r="AB31" s="65">
        <v>2491204</v>
      </c>
      <c r="AC31" s="65">
        <v>5744121</v>
      </c>
      <c r="AD31" s="65">
        <v>2884841</v>
      </c>
      <c r="AE31" s="65">
        <v>6339673</v>
      </c>
      <c r="AF31" s="66">
        <v>683537</v>
      </c>
      <c r="AG31" s="66">
        <v>1986492</v>
      </c>
      <c r="AH31" s="66">
        <v>87867948</v>
      </c>
      <c r="AI31" s="65">
        <v>25150479</v>
      </c>
      <c r="AJ31" s="65">
        <v>7455060</v>
      </c>
      <c r="AK31" s="65">
        <v>17680287</v>
      </c>
      <c r="AL31" s="69">
        <v>15132</v>
      </c>
      <c r="AM31" s="65">
        <v>62717469</v>
      </c>
      <c r="AN31" s="65">
        <v>6683783</v>
      </c>
      <c r="AO31" s="66">
        <v>1439235</v>
      </c>
      <c r="AP31" s="65">
        <v>427955</v>
      </c>
      <c r="AQ31" s="66">
        <v>11752309</v>
      </c>
      <c r="AR31" s="65">
        <v>10293767</v>
      </c>
      <c r="AS31" s="65">
        <v>3120466</v>
      </c>
      <c r="AT31" s="65">
        <v>6701884</v>
      </c>
      <c r="AU31" s="65">
        <v>1041654</v>
      </c>
      <c r="AV31" s="65">
        <v>999718</v>
      </c>
      <c r="AW31" s="65">
        <v>17599434</v>
      </c>
      <c r="AX31" s="66">
        <v>815496</v>
      </c>
      <c r="AY31" s="65">
        <v>1841766</v>
      </c>
      <c r="AZ31" s="66">
        <v>0</v>
      </c>
      <c r="BA31" s="65">
        <v>10520903</v>
      </c>
      <c r="BB31" s="65">
        <v>3985609</v>
      </c>
      <c r="BC31" s="65">
        <v>2855182</v>
      </c>
      <c r="BD31" s="65">
        <v>365731</v>
      </c>
      <c r="BE31" s="65">
        <v>115436</v>
      </c>
      <c r="BF31" s="65">
        <v>2011699</v>
      </c>
      <c r="BG31" s="66">
        <v>1187247</v>
      </c>
      <c r="BH31" s="65">
        <v>13249781</v>
      </c>
      <c r="BI31" s="66">
        <v>3345585</v>
      </c>
      <c r="BJ31" s="65">
        <v>1638770</v>
      </c>
      <c r="BK31" s="65">
        <v>2416124</v>
      </c>
      <c r="BL31" s="65">
        <v>5325411</v>
      </c>
      <c r="BM31" s="65">
        <v>239868</v>
      </c>
      <c r="BN31" s="66">
        <v>284023</v>
      </c>
      <c r="BO31" s="66">
        <v>14434400</v>
      </c>
      <c r="BP31" s="65">
        <v>4635636</v>
      </c>
      <c r="BQ31" s="65">
        <v>3236385</v>
      </c>
      <c r="BR31" s="66">
        <v>2460527</v>
      </c>
      <c r="BS31" s="66">
        <v>4101853</v>
      </c>
      <c r="BT31" s="65">
        <v>173699549</v>
      </c>
      <c r="BU31" s="65">
        <v>171545416</v>
      </c>
      <c r="BV31" s="65">
        <v>1922685</v>
      </c>
      <c r="BW31" s="66">
        <v>231448</v>
      </c>
      <c r="BX31" s="65">
        <v>4300381</v>
      </c>
      <c r="BY31" s="65">
        <v>19980710</v>
      </c>
      <c r="BZ31" s="66">
        <v>4629966</v>
      </c>
      <c r="CA31" s="65">
        <v>2071669</v>
      </c>
      <c r="CB31" s="66">
        <v>2558296</v>
      </c>
      <c r="CC31" s="66">
        <v>490982</v>
      </c>
      <c r="CD31" s="65">
        <v>5995135</v>
      </c>
      <c r="CE31" s="65">
        <v>1060808</v>
      </c>
      <c r="CF31" s="65">
        <v>702518</v>
      </c>
      <c r="CG31" s="65">
        <v>4231810</v>
      </c>
      <c r="CH31" s="65">
        <v>7997223</v>
      </c>
      <c r="CI31" s="66">
        <v>1544717</v>
      </c>
      <c r="CJ31" s="66">
        <v>6452506</v>
      </c>
      <c r="CK31" s="65">
        <v>39622504</v>
      </c>
      <c r="CL31" s="65">
        <v>30192627</v>
      </c>
      <c r="CM31" s="65">
        <v>9429877</v>
      </c>
      <c r="CN31" s="65">
        <v>6781891</v>
      </c>
      <c r="CO31" s="65">
        <v>2287056</v>
      </c>
      <c r="CP31" s="65">
        <v>3613850</v>
      </c>
      <c r="CQ31" s="65">
        <v>880984</v>
      </c>
      <c r="CR31" s="66">
        <v>0</v>
      </c>
    </row>
    <row r="32" spans="1:96" s="68" customFormat="1" ht="10.199999999999999" x14ac:dyDescent="0.2">
      <c r="A32" s="64" t="s">
        <v>218</v>
      </c>
      <c r="B32" s="65">
        <v>4463116772</v>
      </c>
      <c r="C32" s="65">
        <v>3609934</v>
      </c>
      <c r="D32" s="65">
        <v>3123808</v>
      </c>
      <c r="E32" s="65">
        <v>38749</v>
      </c>
      <c r="F32" s="65">
        <v>447377</v>
      </c>
      <c r="G32" s="65">
        <v>57664578</v>
      </c>
      <c r="H32" s="66">
        <v>64514206</v>
      </c>
      <c r="I32" s="65">
        <v>22798566</v>
      </c>
      <c r="J32" s="66">
        <v>5878190</v>
      </c>
      <c r="K32" s="65">
        <v>6546818</v>
      </c>
      <c r="L32" s="65">
        <v>10373558</v>
      </c>
      <c r="M32" s="65">
        <v>1529788286</v>
      </c>
      <c r="N32" s="65">
        <v>120620057</v>
      </c>
      <c r="O32" s="66">
        <v>121225324</v>
      </c>
      <c r="P32" s="65">
        <v>2452442</v>
      </c>
      <c r="Q32" s="66">
        <v>7000145</v>
      </c>
      <c r="R32" s="66">
        <v>355025</v>
      </c>
      <c r="S32" s="65">
        <v>3729315</v>
      </c>
      <c r="T32" s="65">
        <v>22721766</v>
      </c>
      <c r="U32" s="65">
        <v>14821678</v>
      </c>
      <c r="V32" s="65">
        <v>85247438</v>
      </c>
      <c r="W32" s="65">
        <v>349078671</v>
      </c>
      <c r="X32" s="66">
        <v>21696268</v>
      </c>
      <c r="Y32" s="66">
        <v>38481456</v>
      </c>
      <c r="Z32" s="66">
        <v>30931246</v>
      </c>
      <c r="AA32" s="65">
        <v>46851618</v>
      </c>
      <c r="AB32" s="65">
        <v>78128594</v>
      </c>
      <c r="AC32" s="65">
        <v>219794467</v>
      </c>
      <c r="AD32" s="65">
        <v>97112962</v>
      </c>
      <c r="AE32" s="65">
        <v>157905353</v>
      </c>
      <c r="AF32" s="66">
        <v>5174165</v>
      </c>
      <c r="AG32" s="66">
        <v>106460297</v>
      </c>
      <c r="AH32" s="66">
        <v>536463468</v>
      </c>
      <c r="AI32" s="65">
        <v>223062947</v>
      </c>
      <c r="AJ32" s="65">
        <v>81587262</v>
      </c>
      <c r="AK32" s="65">
        <v>141115448</v>
      </c>
      <c r="AL32" s="65">
        <v>360237</v>
      </c>
      <c r="AM32" s="65">
        <v>313400522</v>
      </c>
      <c r="AN32" s="65">
        <v>13034892</v>
      </c>
      <c r="AO32" s="66">
        <v>2141444</v>
      </c>
      <c r="AP32" s="65">
        <v>3435322</v>
      </c>
      <c r="AQ32" s="66">
        <v>3844121</v>
      </c>
      <c r="AR32" s="65">
        <v>17698497</v>
      </c>
      <c r="AS32" s="65">
        <v>62767228</v>
      </c>
      <c r="AT32" s="65">
        <v>3994627</v>
      </c>
      <c r="AU32" s="65">
        <v>9996069</v>
      </c>
      <c r="AV32" s="65">
        <v>5598543</v>
      </c>
      <c r="AW32" s="65">
        <v>16485405</v>
      </c>
      <c r="AX32" s="66">
        <v>8741805</v>
      </c>
      <c r="AY32" s="65">
        <v>165662569</v>
      </c>
      <c r="AZ32" s="66">
        <v>0</v>
      </c>
      <c r="BA32" s="65">
        <v>63353232</v>
      </c>
      <c r="BB32" s="65">
        <v>24119773</v>
      </c>
      <c r="BC32" s="65">
        <v>5492864</v>
      </c>
      <c r="BD32" s="65">
        <v>5497555</v>
      </c>
      <c r="BE32" s="65">
        <v>5170697</v>
      </c>
      <c r="BF32" s="65">
        <v>19036951</v>
      </c>
      <c r="BG32" s="66">
        <v>4035391</v>
      </c>
      <c r="BH32" s="65">
        <v>823752517</v>
      </c>
      <c r="BI32" s="66">
        <v>192437177</v>
      </c>
      <c r="BJ32" s="65">
        <v>42018513</v>
      </c>
      <c r="BK32" s="65">
        <v>138198764</v>
      </c>
      <c r="BL32" s="65">
        <v>387612283</v>
      </c>
      <c r="BM32" s="65">
        <v>22753325</v>
      </c>
      <c r="BN32" s="66">
        <v>40732456</v>
      </c>
      <c r="BO32" s="66">
        <v>371068021</v>
      </c>
      <c r="BP32" s="65">
        <v>105283740</v>
      </c>
      <c r="BQ32" s="65">
        <v>129815538</v>
      </c>
      <c r="BR32" s="66">
        <v>134486340</v>
      </c>
      <c r="BS32" s="66">
        <v>1482402</v>
      </c>
      <c r="BT32" s="65">
        <v>62215613</v>
      </c>
      <c r="BU32" s="65">
        <v>36662861</v>
      </c>
      <c r="BV32" s="65">
        <v>18987739</v>
      </c>
      <c r="BW32" s="66">
        <v>6565014</v>
      </c>
      <c r="BX32" s="65">
        <v>216816262</v>
      </c>
      <c r="BY32" s="65">
        <v>404300002</v>
      </c>
      <c r="BZ32" s="66">
        <v>97661428</v>
      </c>
      <c r="CA32" s="65">
        <v>67289730</v>
      </c>
      <c r="CB32" s="66">
        <v>30371698</v>
      </c>
      <c r="CC32" s="66">
        <v>14644154</v>
      </c>
      <c r="CD32" s="65">
        <v>80179180</v>
      </c>
      <c r="CE32" s="65">
        <v>32745422</v>
      </c>
      <c r="CF32" s="65">
        <v>26522585</v>
      </c>
      <c r="CG32" s="65">
        <v>20911172</v>
      </c>
      <c r="CH32" s="65">
        <v>17181294</v>
      </c>
      <c r="CI32" s="66">
        <v>7378298</v>
      </c>
      <c r="CJ32" s="66">
        <v>9802996</v>
      </c>
      <c r="CK32" s="65">
        <v>75355467</v>
      </c>
      <c r="CL32" s="65">
        <v>28819211</v>
      </c>
      <c r="CM32" s="65">
        <v>46536256</v>
      </c>
      <c r="CN32" s="65">
        <v>21750565</v>
      </c>
      <c r="CO32" s="65">
        <v>8753085</v>
      </c>
      <c r="CP32" s="65">
        <v>12882761</v>
      </c>
      <c r="CQ32" s="65">
        <v>114718</v>
      </c>
      <c r="CR32" s="66">
        <v>0</v>
      </c>
    </row>
    <row r="33" spans="1:96" s="68" customFormat="1" ht="10.199999999999999" x14ac:dyDescent="0.2">
      <c r="A33" s="64" t="s">
        <v>219</v>
      </c>
      <c r="B33" s="65">
        <v>761500570</v>
      </c>
      <c r="C33" s="65">
        <v>598197</v>
      </c>
      <c r="D33" s="65">
        <v>475669</v>
      </c>
      <c r="E33" s="65">
        <v>21999</v>
      </c>
      <c r="F33" s="65">
        <v>100529</v>
      </c>
      <c r="G33" s="65">
        <v>16392497</v>
      </c>
      <c r="H33" s="66">
        <v>7219907</v>
      </c>
      <c r="I33" s="65">
        <v>4452438</v>
      </c>
      <c r="J33" s="66">
        <v>1702281</v>
      </c>
      <c r="K33" s="65">
        <v>898647</v>
      </c>
      <c r="L33" s="65">
        <v>1851510</v>
      </c>
      <c r="M33" s="65">
        <v>280561346</v>
      </c>
      <c r="N33" s="65">
        <v>8670506</v>
      </c>
      <c r="O33" s="66">
        <v>16215657</v>
      </c>
      <c r="P33" s="65">
        <v>593801</v>
      </c>
      <c r="Q33" s="66">
        <v>1950904</v>
      </c>
      <c r="R33" s="66">
        <v>141319</v>
      </c>
      <c r="S33" s="65">
        <v>567083</v>
      </c>
      <c r="T33" s="65">
        <v>4663540</v>
      </c>
      <c r="U33" s="65">
        <v>2796603</v>
      </c>
      <c r="V33" s="65">
        <v>41242576</v>
      </c>
      <c r="W33" s="65">
        <v>58680959</v>
      </c>
      <c r="X33" s="66">
        <v>3836857</v>
      </c>
      <c r="Y33" s="66">
        <v>3798166</v>
      </c>
      <c r="Z33" s="66">
        <v>3405921</v>
      </c>
      <c r="AA33" s="65">
        <v>6390014</v>
      </c>
      <c r="AB33" s="65">
        <v>11845562</v>
      </c>
      <c r="AC33" s="65">
        <v>56118153</v>
      </c>
      <c r="AD33" s="65">
        <v>14091355</v>
      </c>
      <c r="AE33" s="65">
        <v>25278283</v>
      </c>
      <c r="AF33" s="66">
        <v>1242551</v>
      </c>
      <c r="AG33" s="66">
        <v>19031533</v>
      </c>
      <c r="AH33" s="66">
        <v>77317304</v>
      </c>
      <c r="AI33" s="65">
        <v>35660487</v>
      </c>
      <c r="AJ33" s="65">
        <v>14029562</v>
      </c>
      <c r="AK33" s="65">
        <v>21530421</v>
      </c>
      <c r="AL33" s="65">
        <v>100504</v>
      </c>
      <c r="AM33" s="65">
        <v>41656817</v>
      </c>
      <c r="AN33" s="65">
        <v>1790114</v>
      </c>
      <c r="AO33" s="66">
        <v>688025</v>
      </c>
      <c r="AP33" s="65">
        <v>643887</v>
      </c>
      <c r="AQ33" s="66">
        <v>817101</v>
      </c>
      <c r="AR33" s="65">
        <v>3235579</v>
      </c>
      <c r="AS33" s="65">
        <v>4384913</v>
      </c>
      <c r="AT33" s="65">
        <v>1143221</v>
      </c>
      <c r="AU33" s="65">
        <v>1395647</v>
      </c>
      <c r="AV33" s="65">
        <v>1024013</v>
      </c>
      <c r="AW33" s="65">
        <v>1120928</v>
      </c>
      <c r="AX33" s="66">
        <v>1381932</v>
      </c>
      <c r="AY33" s="65">
        <v>24031458</v>
      </c>
      <c r="AZ33" s="66">
        <v>0</v>
      </c>
      <c r="BA33" s="65">
        <v>8749146</v>
      </c>
      <c r="BB33" s="65">
        <v>1913851</v>
      </c>
      <c r="BC33" s="65">
        <v>1390129</v>
      </c>
      <c r="BD33" s="65">
        <v>1006504</v>
      </c>
      <c r="BE33" s="65">
        <v>178919</v>
      </c>
      <c r="BF33" s="65">
        <v>3748204</v>
      </c>
      <c r="BG33" s="66">
        <v>511539</v>
      </c>
      <c r="BH33" s="65">
        <v>162182388</v>
      </c>
      <c r="BI33" s="66">
        <v>43147206</v>
      </c>
      <c r="BJ33" s="65">
        <v>5167501</v>
      </c>
      <c r="BK33" s="65">
        <v>40574771</v>
      </c>
      <c r="BL33" s="65">
        <v>61192738</v>
      </c>
      <c r="BM33" s="65">
        <v>3945475</v>
      </c>
      <c r="BN33" s="66">
        <v>8154697</v>
      </c>
      <c r="BO33" s="66">
        <v>47200817</v>
      </c>
      <c r="BP33" s="65">
        <v>15892363</v>
      </c>
      <c r="BQ33" s="65">
        <v>11523606</v>
      </c>
      <c r="BR33" s="66">
        <v>19241254</v>
      </c>
      <c r="BS33" s="66">
        <v>543593</v>
      </c>
      <c r="BT33" s="65">
        <v>16798998</v>
      </c>
      <c r="BU33" s="65">
        <v>9814906</v>
      </c>
      <c r="BV33" s="65">
        <v>6407252</v>
      </c>
      <c r="BW33" s="66">
        <v>576840</v>
      </c>
      <c r="BX33" s="65">
        <v>55524439</v>
      </c>
      <c r="BY33" s="65">
        <v>28596262</v>
      </c>
      <c r="BZ33" s="66">
        <v>20826477</v>
      </c>
      <c r="CA33" s="65">
        <v>17580229</v>
      </c>
      <c r="CB33" s="66">
        <v>3246248</v>
      </c>
      <c r="CC33" s="66">
        <v>1744563</v>
      </c>
      <c r="CD33" s="65">
        <v>10905646</v>
      </c>
      <c r="CE33" s="65">
        <v>5401289</v>
      </c>
      <c r="CF33" s="65">
        <v>3083960</v>
      </c>
      <c r="CG33" s="65">
        <v>2420397</v>
      </c>
      <c r="CH33" s="65">
        <v>4795165</v>
      </c>
      <c r="CI33" s="66">
        <v>3035615</v>
      </c>
      <c r="CJ33" s="66">
        <v>1759550</v>
      </c>
      <c r="CK33" s="65">
        <v>13013728</v>
      </c>
      <c r="CL33" s="65">
        <v>3063518</v>
      </c>
      <c r="CM33" s="65">
        <v>9950210</v>
      </c>
      <c r="CN33" s="65">
        <v>4621253</v>
      </c>
      <c r="CO33" s="65">
        <v>1864315</v>
      </c>
      <c r="CP33" s="65">
        <v>2707609</v>
      </c>
      <c r="CQ33" s="65">
        <v>49330</v>
      </c>
      <c r="CR33" s="66">
        <v>0</v>
      </c>
    </row>
    <row r="34" spans="1:96" s="68" customFormat="1" ht="10.199999999999999" x14ac:dyDescent="0.2">
      <c r="A34" s="64" t="s">
        <v>220</v>
      </c>
      <c r="B34" s="65">
        <v>5454936230</v>
      </c>
      <c r="C34" s="65">
        <v>5927654</v>
      </c>
      <c r="D34" s="65">
        <v>5069248</v>
      </c>
      <c r="E34" s="65">
        <v>541105</v>
      </c>
      <c r="F34" s="65">
        <v>317301</v>
      </c>
      <c r="G34" s="65">
        <v>94489151</v>
      </c>
      <c r="H34" s="66">
        <v>233635675</v>
      </c>
      <c r="I34" s="65">
        <v>22834226</v>
      </c>
      <c r="J34" s="66">
        <v>12771177</v>
      </c>
      <c r="K34" s="65">
        <v>6582411</v>
      </c>
      <c r="L34" s="65">
        <v>3480637</v>
      </c>
      <c r="M34" s="65">
        <v>894207648</v>
      </c>
      <c r="N34" s="65">
        <v>30240927</v>
      </c>
      <c r="O34" s="66">
        <v>12209879</v>
      </c>
      <c r="P34" s="65">
        <v>1590855</v>
      </c>
      <c r="Q34" s="66">
        <v>2941473</v>
      </c>
      <c r="R34" s="66">
        <v>144463</v>
      </c>
      <c r="S34" s="65">
        <v>4920783</v>
      </c>
      <c r="T34" s="65">
        <v>13999382</v>
      </c>
      <c r="U34" s="65">
        <v>2422231</v>
      </c>
      <c r="V34" s="65">
        <v>79712312</v>
      </c>
      <c r="W34" s="65">
        <v>191689282</v>
      </c>
      <c r="X34" s="66">
        <v>8198629</v>
      </c>
      <c r="Y34" s="66">
        <v>10358959</v>
      </c>
      <c r="Z34" s="66">
        <v>23437055</v>
      </c>
      <c r="AA34" s="65">
        <v>121692714</v>
      </c>
      <c r="AB34" s="65">
        <v>49925561</v>
      </c>
      <c r="AC34" s="65">
        <v>96343376</v>
      </c>
      <c r="AD34" s="65">
        <v>77377286</v>
      </c>
      <c r="AE34" s="65">
        <v>136081263</v>
      </c>
      <c r="AF34" s="66">
        <v>1219453</v>
      </c>
      <c r="AG34" s="66">
        <v>29701765</v>
      </c>
      <c r="AH34" s="66">
        <v>159751811</v>
      </c>
      <c r="AI34" s="65">
        <v>77306528</v>
      </c>
      <c r="AJ34" s="65">
        <v>37878852</v>
      </c>
      <c r="AK34" s="65">
        <v>39329033</v>
      </c>
      <c r="AL34" s="65">
        <v>98643</v>
      </c>
      <c r="AM34" s="65">
        <v>82445283</v>
      </c>
      <c r="AN34" s="65">
        <v>2440387</v>
      </c>
      <c r="AO34" s="66">
        <v>51488</v>
      </c>
      <c r="AP34" s="65">
        <v>1049152</v>
      </c>
      <c r="AQ34" s="66">
        <v>23713311</v>
      </c>
      <c r="AR34" s="65">
        <v>4231864</v>
      </c>
      <c r="AS34" s="65">
        <v>2306741</v>
      </c>
      <c r="AT34" s="65">
        <v>1395708</v>
      </c>
      <c r="AU34" s="65">
        <v>6717660</v>
      </c>
      <c r="AV34" s="65">
        <v>2095338</v>
      </c>
      <c r="AW34" s="65">
        <v>10199340</v>
      </c>
      <c r="AX34" s="66">
        <v>2330256</v>
      </c>
      <c r="AY34" s="65">
        <v>25914040</v>
      </c>
      <c r="AZ34" s="66">
        <v>0</v>
      </c>
      <c r="BA34" s="65">
        <v>34288497</v>
      </c>
      <c r="BB34" s="65">
        <v>14609645</v>
      </c>
      <c r="BC34" s="65">
        <v>3188687</v>
      </c>
      <c r="BD34" s="65">
        <v>1094441</v>
      </c>
      <c r="BE34" s="65">
        <v>1831277</v>
      </c>
      <c r="BF34" s="65">
        <v>11815889</v>
      </c>
      <c r="BG34" s="66">
        <v>1748558</v>
      </c>
      <c r="BH34" s="65">
        <v>263048411</v>
      </c>
      <c r="BI34" s="66">
        <v>77168463</v>
      </c>
      <c r="BJ34" s="65">
        <v>12029379</v>
      </c>
      <c r="BK34" s="65">
        <v>19371336</v>
      </c>
      <c r="BL34" s="65">
        <v>146030911</v>
      </c>
      <c r="BM34" s="65">
        <v>4855707</v>
      </c>
      <c r="BN34" s="66">
        <v>3592614</v>
      </c>
      <c r="BO34" s="66">
        <v>2890599794</v>
      </c>
      <c r="BP34" s="65">
        <v>174255757</v>
      </c>
      <c r="BQ34" s="65">
        <v>927542149</v>
      </c>
      <c r="BR34" s="66">
        <v>1770524775</v>
      </c>
      <c r="BS34" s="66">
        <v>18277114</v>
      </c>
      <c r="BT34" s="65">
        <v>48518753</v>
      </c>
      <c r="BU34" s="65">
        <v>37074618</v>
      </c>
      <c r="BV34" s="65">
        <v>9659514</v>
      </c>
      <c r="BW34" s="66">
        <v>1784621</v>
      </c>
      <c r="BX34" s="65">
        <v>62853330</v>
      </c>
      <c r="BY34" s="65">
        <v>663962099</v>
      </c>
      <c r="BZ34" s="66">
        <v>13827805</v>
      </c>
      <c r="CA34" s="65">
        <v>10354268</v>
      </c>
      <c r="CB34" s="66">
        <v>3473538</v>
      </c>
      <c r="CC34" s="66">
        <v>4264606</v>
      </c>
      <c r="CD34" s="65">
        <v>16179361</v>
      </c>
      <c r="CE34" s="65">
        <v>6176790</v>
      </c>
      <c r="CF34" s="65">
        <v>2466525</v>
      </c>
      <c r="CG34" s="65">
        <v>7536045</v>
      </c>
      <c r="CH34" s="65">
        <v>5755555</v>
      </c>
      <c r="CI34" s="66">
        <v>2464584</v>
      </c>
      <c r="CJ34" s="66">
        <v>3290971</v>
      </c>
      <c r="CK34" s="65">
        <v>31690732</v>
      </c>
      <c r="CL34" s="65">
        <v>11002339</v>
      </c>
      <c r="CM34" s="65">
        <v>20688393</v>
      </c>
      <c r="CN34" s="65">
        <v>9101123</v>
      </c>
      <c r="CO34" s="65">
        <v>926423</v>
      </c>
      <c r="CP34" s="65">
        <v>7816901</v>
      </c>
      <c r="CQ34" s="65">
        <v>357799</v>
      </c>
      <c r="CR34" s="66">
        <v>0</v>
      </c>
    </row>
    <row r="35" spans="1:96" s="63" customFormat="1" ht="10.199999999999999" x14ac:dyDescent="0.2">
      <c r="A35" s="55" t="s">
        <v>221</v>
      </c>
      <c r="B35" s="59">
        <v>75965019409</v>
      </c>
      <c r="C35" s="59">
        <v>138562878</v>
      </c>
      <c r="D35" s="59">
        <v>109581343</v>
      </c>
      <c r="E35" s="59">
        <v>13771102</v>
      </c>
      <c r="F35" s="59">
        <v>15210433</v>
      </c>
      <c r="G35" s="59">
        <v>894303401</v>
      </c>
      <c r="H35" s="58">
        <v>1554187609</v>
      </c>
      <c r="I35" s="59">
        <v>679234441</v>
      </c>
      <c r="J35" s="58">
        <v>290001047</v>
      </c>
      <c r="K35" s="59">
        <v>200551151</v>
      </c>
      <c r="L35" s="59">
        <v>188682244</v>
      </c>
      <c r="M35" s="59">
        <v>10497317882</v>
      </c>
      <c r="N35" s="59">
        <v>826264589</v>
      </c>
      <c r="O35" s="58">
        <v>263556982</v>
      </c>
      <c r="P35" s="59">
        <v>26962212</v>
      </c>
      <c r="Q35" s="58">
        <v>34759534</v>
      </c>
      <c r="R35" s="58">
        <v>6137180</v>
      </c>
      <c r="S35" s="59">
        <v>58162592</v>
      </c>
      <c r="T35" s="59">
        <v>256589323</v>
      </c>
      <c r="U35" s="59">
        <v>56022667</v>
      </c>
      <c r="V35" s="59">
        <v>1875892759</v>
      </c>
      <c r="W35" s="59">
        <v>1835810191</v>
      </c>
      <c r="X35" s="58">
        <v>136647089</v>
      </c>
      <c r="Y35" s="58">
        <v>198088969</v>
      </c>
      <c r="Z35" s="58">
        <v>292651930</v>
      </c>
      <c r="AA35" s="59">
        <v>461061407</v>
      </c>
      <c r="AB35" s="59">
        <v>485167818</v>
      </c>
      <c r="AC35" s="59">
        <v>1036559072</v>
      </c>
      <c r="AD35" s="59">
        <v>1032122717</v>
      </c>
      <c r="AE35" s="59">
        <v>1266779825</v>
      </c>
      <c r="AF35" s="58">
        <v>31439434</v>
      </c>
      <c r="AG35" s="58">
        <v>316641592</v>
      </c>
      <c r="AH35" s="58">
        <v>3816815215</v>
      </c>
      <c r="AI35" s="59">
        <v>1994732235</v>
      </c>
      <c r="AJ35" s="59">
        <v>816149773</v>
      </c>
      <c r="AK35" s="59">
        <v>1176961790</v>
      </c>
      <c r="AL35" s="59">
        <v>1620672</v>
      </c>
      <c r="AM35" s="59">
        <v>1822065645</v>
      </c>
      <c r="AN35" s="59">
        <v>204980022</v>
      </c>
      <c r="AO35" s="58">
        <v>39815806</v>
      </c>
      <c r="AP35" s="59">
        <v>44114452</v>
      </c>
      <c r="AQ35" s="58">
        <v>158832303</v>
      </c>
      <c r="AR35" s="59">
        <v>180022639</v>
      </c>
      <c r="AS35" s="59">
        <v>158139328</v>
      </c>
      <c r="AT35" s="59">
        <v>48353992</v>
      </c>
      <c r="AU35" s="59">
        <v>110026795</v>
      </c>
      <c r="AV35" s="59">
        <v>47455253</v>
      </c>
      <c r="AW35" s="59">
        <v>342866623</v>
      </c>
      <c r="AX35" s="58">
        <v>59016523</v>
      </c>
      <c r="AY35" s="59">
        <v>428441911</v>
      </c>
      <c r="AZ35" s="60">
        <v>17335</v>
      </c>
      <c r="BA35" s="59">
        <v>694410245</v>
      </c>
      <c r="BB35" s="59">
        <v>387849027</v>
      </c>
      <c r="BC35" s="59">
        <v>89793874</v>
      </c>
      <c r="BD35" s="59">
        <v>17575239</v>
      </c>
      <c r="BE35" s="59">
        <v>40570363</v>
      </c>
      <c r="BF35" s="59">
        <v>128012062</v>
      </c>
      <c r="BG35" s="58">
        <v>30609680</v>
      </c>
      <c r="BH35" s="59">
        <v>2419797814</v>
      </c>
      <c r="BI35" s="58">
        <v>458721042</v>
      </c>
      <c r="BJ35" s="59">
        <v>155577954</v>
      </c>
      <c r="BK35" s="59">
        <v>246131309</v>
      </c>
      <c r="BL35" s="59">
        <v>1406534555</v>
      </c>
      <c r="BM35" s="59">
        <v>47318065</v>
      </c>
      <c r="BN35" s="58">
        <v>105514889</v>
      </c>
      <c r="BO35" s="58">
        <v>33656369101</v>
      </c>
      <c r="BP35" s="59">
        <v>4371945665</v>
      </c>
      <c r="BQ35" s="59">
        <v>6435262424</v>
      </c>
      <c r="BR35" s="58">
        <v>8712486828</v>
      </c>
      <c r="BS35" s="58">
        <v>14136674183</v>
      </c>
      <c r="BT35" s="59">
        <v>1437757936</v>
      </c>
      <c r="BU35" s="59">
        <v>1234592783</v>
      </c>
      <c r="BV35" s="59">
        <v>181787822</v>
      </c>
      <c r="BW35" s="58">
        <v>21377331</v>
      </c>
      <c r="BX35" s="59">
        <v>835674884</v>
      </c>
      <c r="BY35" s="59">
        <v>17981037571</v>
      </c>
      <c r="BZ35" s="58">
        <v>297884549</v>
      </c>
      <c r="CA35" s="59">
        <v>213638185</v>
      </c>
      <c r="CB35" s="58">
        <v>84246363</v>
      </c>
      <c r="CC35" s="58">
        <v>52161587</v>
      </c>
      <c r="CD35" s="59">
        <v>315092768</v>
      </c>
      <c r="CE35" s="59">
        <v>123393060</v>
      </c>
      <c r="CF35" s="59">
        <v>62464986</v>
      </c>
      <c r="CG35" s="59">
        <v>129234722</v>
      </c>
      <c r="CH35" s="59">
        <v>104136142</v>
      </c>
      <c r="CI35" s="58">
        <v>36729540</v>
      </c>
      <c r="CJ35" s="58">
        <v>67406602</v>
      </c>
      <c r="CK35" s="59">
        <v>474252014</v>
      </c>
      <c r="CL35" s="59">
        <v>260630228</v>
      </c>
      <c r="CM35" s="59">
        <v>213621786</v>
      </c>
      <c r="CN35" s="59">
        <v>115939166</v>
      </c>
      <c r="CO35" s="59">
        <v>45873696</v>
      </c>
      <c r="CP35" s="59">
        <v>54909006</v>
      </c>
      <c r="CQ35" s="59">
        <v>15156464</v>
      </c>
      <c r="CR35" s="60">
        <v>84206</v>
      </c>
    </row>
    <row r="36" spans="1:96" s="68" customFormat="1" ht="10.199999999999999" x14ac:dyDescent="0.2">
      <c r="A36" s="64" t="s">
        <v>222</v>
      </c>
      <c r="B36" s="65">
        <v>5694185385</v>
      </c>
      <c r="C36" s="65">
        <v>9449411</v>
      </c>
      <c r="D36" s="65">
        <v>7465489</v>
      </c>
      <c r="E36" s="65">
        <v>347400</v>
      </c>
      <c r="F36" s="65">
        <v>1636522</v>
      </c>
      <c r="G36" s="65">
        <v>76452480</v>
      </c>
      <c r="H36" s="66">
        <v>64653075</v>
      </c>
      <c r="I36" s="65">
        <v>100951379</v>
      </c>
      <c r="J36" s="66">
        <v>53067464</v>
      </c>
      <c r="K36" s="65">
        <v>19472976</v>
      </c>
      <c r="L36" s="65">
        <v>28410939</v>
      </c>
      <c r="M36" s="65">
        <v>1354651669</v>
      </c>
      <c r="N36" s="65">
        <v>337075701</v>
      </c>
      <c r="O36" s="66">
        <v>9500699</v>
      </c>
      <c r="P36" s="65">
        <v>2652441</v>
      </c>
      <c r="Q36" s="66">
        <v>4932267</v>
      </c>
      <c r="R36" s="66">
        <v>1602531</v>
      </c>
      <c r="S36" s="65">
        <v>3404290</v>
      </c>
      <c r="T36" s="65">
        <v>25800122</v>
      </c>
      <c r="U36" s="65">
        <v>5318904</v>
      </c>
      <c r="V36" s="65">
        <v>237850007</v>
      </c>
      <c r="W36" s="65">
        <v>162946318</v>
      </c>
      <c r="X36" s="66">
        <v>13171963</v>
      </c>
      <c r="Y36" s="66">
        <v>8967302</v>
      </c>
      <c r="Z36" s="66">
        <v>40326750</v>
      </c>
      <c r="AA36" s="65">
        <v>19089281</v>
      </c>
      <c r="AB36" s="65">
        <v>50232939</v>
      </c>
      <c r="AC36" s="65">
        <v>131922959</v>
      </c>
      <c r="AD36" s="65">
        <v>51865698</v>
      </c>
      <c r="AE36" s="65">
        <v>222620356</v>
      </c>
      <c r="AF36" s="66">
        <v>3977815</v>
      </c>
      <c r="AG36" s="66">
        <v>21393323</v>
      </c>
      <c r="AH36" s="66">
        <v>547669487</v>
      </c>
      <c r="AI36" s="65">
        <v>302206875</v>
      </c>
      <c r="AJ36" s="65">
        <v>150541608</v>
      </c>
      <c r="AK36" s="65">
        <v>151573986</v>
      </c>
      <c r="AL36" s="65">
        <v>91282</v>
      </c>
      <c r="AM36" s="65">
        <v>245462611</v>
      </c>
      <c r="AN36" s="65">
        <v>17728408</v>
      </c>
      <c r="AO36" s="66">
        <v>5310097</v>
      </c>
      <c r="AP36" s="65">
        <v>13281257</v>
      </c>
      <c r="AQ36" s="66">
        <v>14754383</v>
      </c>
      <c r="AR36" s="65">
        <v>38862471</v>
      </c>
      <c r="AS36" s="65">
        <v>22145265</v>
      </c>
      <c r="AT36" s="65">
        <v>6927728</v>
      </c>
      <c r="AU36" s="65">
        <v>14795360</v>
      </c>
      <c r="AV36" s="65">
        <v>9500020</v>
      </c>
      <c r="AW36" s="65">
        <v>54349644</v>
      </c>
      <c r="AX36" s="66">
        <v>8511937</v>
      </c>
      <c r="AY36" s="65">
        <v>39296041</v>
      </c>
      <c r="AZ36" s="66">
        <v>0</v>
      </c>
      <c r="BA36" s="65">
        <v>49078110</v>
      </c>
      <c r="BB36" s="65">
        <v>14683248</v>
      </c>
      <c r="BC36" s="65">
        <v>8006638</v>
      </c>
      <c r="BD36" s="65">
        <v>767089</v>
      </c>
      <c r="BE36" s="65">
        <v>1908734</v>
      </c>
      <c r="BF36" s="65">
        <v>22052024</v>
      </c>
      <c r="BG36" s="66">
        <v>1660376</v>
      </c>
      <c r="BH36" s="65">
        <v>129432384</v>
      </c>
      <c r="BI36" s="66">
        <v>24525405</v>
      </c>
      <c r="BJ36" s="65">
        <v>6511480</v>
      </c>
      <c r="BK36" s="65">
        <v>5691063</v>
      </c>
      <c r="BL36" s="65">
        <v>85122959</v>
      </c>
      <c r="BM36" s="65">
        <v>1222709</v>
      </c>
      <c r="BN36" s="66">
        <v>6358767</v>
      </c>
      <c r="BO36" s="66">
        <v>1923516642</v>
      </c>
      <c r="BP36" s="65">
        <v>153384569</v>
      </c>
      <c r="BQ36" s="65">
        <v>1193489806</v>
      </c>
      <c r="BR36" s="66">
        <v>147698740</v>
      </c>
      <c r="BS36" s="66">
        <v>428943527</v>
      </c>
      <c r="BT36" s="65">
        <v>33825873</v>
      </c>
      <c r="BU36" s="65">
        <v>25618775</v>
      </c>
      <c r="BV36" s="65">
        <v>7985279</v>
      </c>
      <c r="BW36" s="66">
        <v>221819</v>
      </c>
      <c r="BX36" s="65">
        <v>91866108</v>
      </c>
      <c r="BY36" s="65">
        <v>1243437551</v>
      </c>
      <c r="BZ36" s="66">
        <v>20775531</v>
      </c>
      <c r="CA36" s="65">
        <v>15945703</v>
      </c>
      <c r="CB36" s="66">
        <v>4829829</v>
      </c>
      <c r="CC36" s="66">
        <v>2333813</v>
      </c>
      <c r="CD36" s="65">
        <v>14713367</v>
      </c>
      <c r="CE36" s="65">
        <v>6452250</v>
      </c>
      <c r="CF36" s="65">
        <v>2719980</v>
      </c>
      <c r="CG36" s="65">
        <v>5541137</v>
      </c>
      <c r="CH36" s="65">
        <v>5120597</v>
      </c>
      <c r="CI36" s="66">
        <v>2265778</v>
      </c>
      <c r="CJ36" s="66">
        <v>2854819</v>
      </c>
      <c r="CK36" s="65">
        <v>17511581</v>
      </c>
      <c r="CL36" s="65">
        <v>4112293</v>
      </c>
      <c r="CM36" s="65">
        <v>13399288</v>
      </c>
      <c r="CN36" s="65">
        <v>8745810</v>
      </c>
      <c r="CO36" s="65">
        <v>4383216</v>
      </c>
      <c r="CP36" s="65">
        <v>3409650</v>
      </c>
      <c r="CQ36" s="65">
        <v>952944</v>
      </c>
      <c r="CR36" s="67">
        <v>518</v>
      </c>
    </row>
    <row r="37" spans="1:96" s="68" customFormat="1" ht="10.199999999999999" x14ac:dyDescent="0.2">
      <c r="A37" s="64" t="s">
        <v>306</v>
      </c>
      <c r="B37" s="65">
        <v>4541556442</v>
      </c>
      <c r="C37" s="65">
        <v>16751879</v>
      </c>
      <c r="D37" s="65">
        <v>13434513</v>
      </c>
      <c r="E37" s="65">
        <v>2000737</v>
      </c>
      <c r="F37" s="65">
        <v>1316628</v>
      </c>
      <c r="G37" s="65">
        <v>17903144</v>
      </c>
      <c r="H37" s="66">
        <v>70124440</v>
      </c>
      <c r="I37" s="65">
        <v>60735361</v>
      </c>
      <c r="J37" s="66">
        <v>30640504</v>
      </c>
      <c r="K37" s="65">
        <v>16626424</v>
      </c>
      <c r="L37" s="65">
        <v>13468432</v>
      </c>
      <c r="M37" s="65">
        <v>733540861</v>
      </c>
      <c r="N37" s="65">
        <v>23226248</v>
      </c>
      <c r="O37" s="66">
        <v>9925700</v>
      </c>
      <c r="P37" s="65">
        <v>2045732</v>
      </c>
      <c r="Q37" s="66">
        <v>1956186</v>
      </c>
      <c r="R37" s="66">
        <v>387347</v>
      </c>
      <c r="S37" s="65">
        <v>3869272</v>
      </c>
      <c r="T37" s="65">
        <v>16646356</v>
      </c>
      <c r="U37" s="65">
        <v>3575897</v>
      </c>
      <c r="V37" s="65">
        <v>46304641</v>
      </c>
      <c r="W37" s="65">
        <v>132608657</v>
      </c>
      <c r="X37" s="66">
        <v>7458463</v>
      </c>
      <c r="Y37" s="66">
        <v>6878996</v>
      </c>
      <c r="Z37" s="66">
        <v>27742127</v>
      </c>
      <c r="AA37" s="65">
        <v>14114973</v>
      </c>
      <c r="AB37" s="65">
        <v>36229741</v>
      </c>
      <c r="AC37" s="65">
        <v>44869677</v>
      </c>
      <c r="AD37" s="65">
        <v>246304515</v>
      </c>
      <c r="AE37" s="65">
        <v>94023255</v>
      </c>
      <c r="AF37" s="66">
        <v>2131765</v>
      </c>
      <c r="AG37" s="66">
        <v>13241313</v>
      </c>
      <c r="AH37" s="66">
        <v>281509938</v>
      </c>
      <c r="AI37" s="65">
        <v>142102875</v>
      </c>
      <c r="AJ37" s="65">
        <v>79866725</v>
      </c>
      <c r="AK37" s="65">
        <v>61986491</v>
      </c>
      <c r="AL37" s="65">
        <v>249658</v>
      </c>
      <c r="AM37" s="65">
        <v>139407063</v>
      </c>
      <c r="AN37" s="65">
        <v>67883893</v>
      </c>
      <c r="AO37" s="66">
        <v>4885082</v>
      </c>
      <c r="AP37" s="65">
        <v>1840293</v>
      </c>
      <c r="AQ37" s="66">
        <v>5969555</v>
      </c>
      <c r="AR37" s="65">
        <v>4750599</v>
      </c>
      <c r="AS37" s="65">
        <v>5676999</v>
      </c>
      <c r="AT37" s="65">
        <v>1421413</v>
      </c>
      <c r="AU37" s="65">
        <v>3844159</v>
      </c>
      <c r="AV37" s="65">
        <v>1868939</v>
      </c>
      <c r="AW37" s="65">
        <v>9874089</v>
      </c>
      <c r="AX37" s="66">
        <v>3281448</v>
      </c>
      <c r="AY37" s="65">
        <v>28110593</v>
      </c>
      <c r="AZ37" s="66">
        <v>0</v>
      </c>
      <c r="BA37" s="65">
        <v>28184215</v>
      </c>
      <c r="BB37" s="65">
        <v>11778793</v>
      </c>
      <c r="BC37" s="65">
        <v>8166000</v>
      </c>
      <c r="BD37" s="65">
        <v>1033885</v>
      </c>
      <c r="BE37" s="65">
        <v>1804561</v>
      </c>
      <c r="BF37" s="65">
        <v>4316087</v>
      </c>
      <c r="BG37" s="66">
        <v>1084888</v>
      </c>
      <c r="BH37" s="65">
        <v>129613018</v>
      </c>
      <c r="BI37" s="66">
        <v>14980977</v>
      </c>
      <c r="BJ37" s="65">
        <v>5255969</v>
      </c>
      <c r="BK37" s="65">
        <v>10146475</v>
      </c>
      <c r="BL37" s="65">
        <v>95040241</v>
      </c>
      <c r="BM37" s="65">
        <v>2104330</v>
      </c>
      <c r="BN37" s="66">
        <v>2085027</v>
      </c>
      <c r="BO37" s="66">
        <v>1252432841</v>
      </c>
      <c r="BP37" s="65">
        <v>839302710</v>
      </c>
      <c r="BQ37" s="65">
        <v>203081265</v>
      </c>
      <c r="BR37" s="66">
        <v>72393193</v>
      </c>
      <c r="BS37" s="66">
        <v>137655674</v>
      </c>
      <c r="BT37" s="65">
        <v>62362652</v>
      </c>
      <c r="BU37" s="65">
        <v>39109694</v>
      </c>
      <c r="BV37" s="65">
        <v>21166506</v>
      </c>
      <c r="BW37" s="66">
        <v>2086452</v>
      </c>
      <c r="BX37" s="65">
        <v>45491839</v>
      </c>
      <c r="BY37" s="65">
        <v>1773280515</v>
      </c>
      <c r="BZ37" s="66">
        <v>18731731</v>
      </c>
      <c r="CA37" s="65">
        <v>15071936</v>
      </c>
      <c r="CB37" s="66">
        <v>3659795</v>
      </c>
      <c r="CC37" s="66">
        <v>3440534</v>
      </c>
      <c r="CD37" s="65">
        <v>13834601</v>
      </c>
      <c r="CE37" s="65">
        <v>9085332</v>
      </c>
      <c r="CF37" s="65">
        <v>2334952</v>
      </c>
      <c r="CG37" s="65">
        <v>2414318</v>
      </c>
      <c r="CH37" s="65">
        <v>7560620</v>
      </c>
      <c r="CI37" s="66">
        <v>3055042</v>
      </c>
      <c r="CJ37" s="66">
        <v>4505578</v>
      </c>
      <c r="CK37" s="65">
        <v>21277353</v>
      </c>
      <c r="CL37" s="65">
        <v>13540035</v>
      </c>
      <c r="CM37" s="65">
        <v>7737318</v>
      </c>
      <c r="CN37" s="65">
        <v>4780902</v>
      </c>
      <c r="CO37" s="65">
        <v>2294264</v>
      </c>
      <c r="CP37" s="65">
        <v>2072639</v>
      </c>
      <c r="CQ37" s="65">
        <v>413999</v>
      </c>
      <c r="CR37" s="66">
        <v>0</v>
      </c>
    </row>
    <row r="38" spans="1:96" s="68" customFormat="1" ht="10.199999999999999" x14ac:dyDescent="0.2">
      <c r="A38" s="64" t="s">
        <v>223</v>
      </c>
      <c r="B38" s="65">
        <v>17929481011</v>
      </c>
      <c r="C38" s="65">
        <v>6526167</v>
      </c>
      <c r="D38" s="65">
        <v>4834499</v>
      </c>
      <c r="E38" s="65">
        <v>258315</v>
      </c>
      <c r="F38" s="65">
        <v>1433353</v>
      </c>
      <c r="G38" s="65">
        <v>48740155</v>
      </c>
      <c r="H38" s="66">
        <v>94415241</v>
      </c>
      <c r="I38" s="65">
        <v>94239663</v>
      </c>
      <c r="J38" s="66">
        <v>43971735</v>
      </c>
      <c r="K38" s="65">
        <v>20841632</v>
      </c>
      <c r="L38" s="65">
        <v>29426296</v>
      </c>
      <c r="M38" s="65">
        <v>1000481234</v>
      </c>
      <c r="N38" s="65">
        <v>34895496</v>
      </c>
      <c r="O38" s="66">
        <v>21504492</v>
      </c>
      <c r="P38" s="65">
        <v>2779701</v>
      </c>
      <c r="Q38" s="66">
        <v>3129299</v>
      </c>
      <c r="R38" s="66">
        <v>453619</v>
      </c>
      <c r="S38" s="65">
        <v>3647384</v>
      </c>
      <c r="T38" s="65">
        <v>11903792</v>
      </c>
      <c r="U38" s="65">
        <v>4977274</v>
      </c>
      <c r="V38" s="65">
        <v>290082047</v>
      </c>
      <c r="W38" s="65">
        <v>153862377</v>
      </c>
      <c r="X38" s="66">
        <v>12529500</v>
      </c>
      <c r="Y38" s="66">
        <v>11111719</v>
      </c>
      <c r="Z38" s="66">
        <v>14926832</v>
      </c>
      <c r="AA38" s="65">
        <v>21763342</v>
      </c>
      <c r="AB38" s="65">
        <v>43943361</v>
      </c>
      <c r="AC38" s="65">
        <v>105926730</v>
      </c>
      <c r="AD38" s="65">
        <v>52561783</v>
      </c>
      <c r="AE38" s="65">
        <v>178233483</v>
      </c>
      <c r="AF38" s="66">
        <v>3366088</v>
      </c>
      <c r="AG38" s="66">
        <v>28882917</v>
      </c>
      <c r="AH38" s="66">
        <v>421460587</v>
      </c>
      <c r="AI38" s="65">
        <v>206792242</v>
      </c>
      <c r="AJ38" s="65">
        <v>88896956</v>
      </c>
      <c r="AK38" s="65">
        <v>117629837</v>
      </c>
      <c r="AL38" s="65">
        <v>265449</v>
      </c>
      <c r="AM38" s="65">
        <v>214668345</v>
      </c>
      <c r="AN38" s="65">
        <v>14335305</v>
      </c>
      <c r="AO38" s="66">
        <v>5204906</v>
      </c>
      <c r="AP38" s="65">
        <v>6968902</v>
      </c>
      <c r="AQ38" s="66">
        <v>24040421</v>
      </c>
      <c r="AR38" s="65">
        <v>15197593</v>
      </c>
      <c r="AS38" s="65">
        <v>19090267</v>
      </c>
      <c r="AT38" s="65">
        <v>3167535</v>
      </c>
      <c r="AU38" s="65">
        <v>14106108</v>
      </c>
      <c r="AV38" s="65">
        <v>7031727</v>
      </c>
      <c r="AW38" s="65">
        <v>41415773</v>
      </c>
      <c r="AX38" s="66">
        <v>5036308</v>
      </c>
      <c r="AY38" s="65">
        <v>59073500</v>
      </c>
      <c r="AZ38" s="66">
        <v>0</v>
      </c>
      <c r="BA38" s="65">
        <v>73801459</v>
      </c>
      <c r="BB38" s="65">
        <v>41448548</v>
      </c>
      <c r="BC38" s="65">
        <v>14329782</v>
      </c>
      <c r="BD38" s="65">
        <v>1859133</v>
      </c>
      <c r="BE38" s="65">
        <v>2606734</v>
      </c>
      <c r="BF38" s="65">
        <v>11803518</v>
      </c>
      <c r="BG38" s="66">
        <v>1753744</v>
      </c>
      <c r="BH38" s="65">
        <v>261627916</v>
      </c>
      <c r="BI38" s="66">
        <v>109301147</v>
      </c>
      <c r="BJ38" s="65">
        <v>20204794</v>
      </c>
      <c r="BK38" s="65">
        <v>30251742</v>
      </c>
      <c r="BL38" s="65">
        <v>83419849</v>
      </c>
      <c r="BM38" s="65">
        <v>6031191</v>
      </c>
      <c r="BN38" s="66">
        <v>12419192</v>
      </c>
      <c r="BO38" s="66">
        <v>6819233732</v>
      </c>
      <c r="BP38" s="65">
        <v>1083310984</v>
      </c>
      <c r="BQ38" s="65">
        <v>2313286218</v>
      </c>
      <c r="BR38" s="66">
        <v>3266861481</v>
      </c>
      <c r="BS38" s="66">
        <v>155775049</v>
      </c>
      <c r="BT38" s="65">
        <v>58795482</v>
      </c>
      <c r="BU38" s="65">
        <v>38954613</v>
      </c>
      <c r="BV38" s="65">
        <v>18382259</v>
      </c>
      <c r="BW38" s="66">
        <v>1458610</v>
      </c>
      <c r="BX38" s="65">
        <v>141786371</v>
      </c>
      <c r="BY38" s="65">
        <v>8768644209</v>
      </c>
      <c r="BZ38" s="66">
        <v>36659176</v>
      </c>
      <c r="CA38" s="65">
        <v>30103255</v>
      </c>
      <c r="CB38" s="66">
        <v>6555920</v>
      </c>
      <c r="CC38" s="66">
        <v>8242224</v>
      </c>
      <c r="CD38" s="65">
        <v>37583397</v>
      </c>
      <c r="CE38" s="65">
        <v>19023975</v>
      </c>
      <c r="CF38" s="65">
        <v>6821426</v>
      </c>
      <c r="CG38" s="65">
        <v>11737996</v>
      </c>
      <c r="CH38" s="65">
        <v>11127419</v>
      </c>
      <c r="CI38" s="66">
        <v>5301329</v>
      </c>
      <c r="CJ38" s="66">
        <v>5826089</v>
      </c>
      <c r="CK38" s="65">
        <v>34909720</v>
      </c>
      <c r="CL38" s="65">
        <v>14112290</v>
      </c>
      <c r="CM38" s="65">
        <v>20797430</v>
      </c>
      <c r="CN38" s="65">
        <v>11206859</v>
      </c>
      <c r="CO38" s="65">
        <v>4201775</v>
      </c>
      <c r="CP38" s="65">
        <v>5129349</v>
      </c>
      <c r="CQ38" s="65">
        <v>1875735</v>
      </c>
      <c r="CR38" s="66">
        <v>0</v>
      </c>
    </row>
    <row r="39" spans="1:96" s="68" customFormat="1" ht="10.199999999999999" x14ac:dyDescent="0.2">
      <c r="A39" s="64" t="s">
        <v>224</v>
      </c>
      <c r="B39" s="65">
        <v>1114438693</v>
      </c>
      <c r="C39" s="65">
        <v>18224525</v>
      </c>
      <c r="D39" s="65">
        <v>15081887</v>
      </c>
      <c r="E39" s="65">
        <v>1033412</v>
      </c>
      <c r="F39" s="65">
        <v>2109227</v>
      </c>
      <c r="G39" s="65">
        <v>9758875</v>
      </c>
      <c r="H39" s="66">
        <v>2494723</v>
      </c>
      <c r="I39" s="65">
        <v>39324598</v>
      </c>
      <c r="J39" s="66">
        <v>14439296</v>
      </c>
      <c r="K39" s="65">
        <v>13929187</v>
      </c>
      <c r="L39" s="65">
        <v>10956115</v>
      </c>
      <c r="M39" s="65">
        <v>157740435</v>
      </c>
      <c r="N39" s="65">
        <v>12188621</v>
      </c>
      <c r="O39" s="66">
        <v>3135538</v>
      </c>
      <c r="P39" s="65">
        <v>732388</v>
      </c>
      <c r="Q39" s="66">
        <v>1241124</v>
      </c>
      <c r="R39" s="67">
        <v>86289</v>
      </c>
      <c r="S39" s="65">
        <v>2134480</v>
      </c>
      <c r="T39" s="65">
        <v>6993325</v>
      </c>
      <c r="U39" s="65">
        <v>1559332</v>
      </c>
      <c r="V39" s="65">
        <v>28514514</v>
      </c>
      <c r="W39" s="65">
        <v>27568634</v>
      </c>
      <c r="X39" s="66">
        <v>3731486</v>
      </c>
      <c r="Y39" s="66">
        <v>1941325</v>
      </c>
      <c r="Z39" s="66">
        <v>6929418</v>
      </c>
      <c r="AA39" s="65">
        <v>16046819</v>
      </c>
      <c r="AB39" s="65">
        <v>5961732</v>
      </c>
      <c r="AC39" s="65">
        <v>26027370</v>
      </c>
      <c r="AD39" s="65">
        <v>1771322</v>
      </c>
      <c r="AE39" s="65">
        <v>7397433</v>
      </c>
      <c r="AF39" s="66">
        <v>652990</v>
      </c>
      <c r="AG39" s="66">
        <v>3126295</v>
      </c>
      <c r="AH39" s="66">
        <v>90213614</v>
      </c>
      <c r="AI39" s="65">
        <v>42433377</v>
      </c>
      <c r="AJ39" s="65">
        <v>28131946</v>
      </c>
      <c r="AK39" s="65">
        <v>14142973</v>
      </c>
      <c r="AL39" s="65">
        <v>158457</v>
      </c>
      <c r="AM39" s="65">
        <v>47778011</v>
      </c>
      <c r="AN39" s="65">
        <v>13112241</v>
      </c>
      <c r="AO39" s="66">
        <v>2982871</v>
      </c>
      <c r="AP39" s="65">
        <v>999853</v>
      </c>
      <c r="AQ39" s="66">
        <v>3480995</v>
      </c>
      <c r="AR39" s="65">
        <v>5992680</v>
      </c>
      <c r="AS39" s="65">
        <v>2208709</v>
      </c>
      <c r="AT39" s="65">
        <v>3789587</v>
      </c>
      <c r="AU39" s="65">
        <v>3195409</v>
      </c>
      <c r="AV39" s="65">
        <v>1813008</v>
      </c>
      <c r="AW39" s="65">
        <v>491666</v>
      </c>
      <c r="AX39" s="66">
        <v>3899542</v>
      </c>
      <c r="AY39" s="65">
        <v>5811450</v>
      </c>
      <c r="AZ39" s="67">
        <v>2226</v>
      </c>
      <c r="BA39" s="65">
        <v>17817166</v>
      </c>
      <c r="BB39" s="65">
        <v>3348280</v>
      </c>
      <c r="BC39" s="65">
        <v>4384651</v>
      </c>
      <c r="BD39" s="65">
        <v>3984703</v>
      </c>
      <c r="BE39" s="69">
        <v>159538</v>
      </c>
      <c r="BF39" s="65">
        <v>4535177</v>
      </c>
      <c r="BG39" s="66">
        <v>1404817</v>
      </c>
      <c r="BH39" s="65">
        <v>46877052</v>
      </c>
      <c r="BI39" s="66">
        <v>9699162</v>
      </c>
      <c r="BJ39" s="65">
        <v>5118362</v>
      </c>
      <c r="BK39" s="65">
        <v>1360897</v>
      </c>
      <c r="BL39" s="65">
        <v>28995669</v>
      </c>
      <c r="BM39" s="65">
        <v>551576</v>
      </c>
      <c r="BN39" s="66">
        <v>1151386</v>
      </c>
      <c r="BO39" s="66">
        <v>62821534</v>
      </c>
      <c r="BP39" s="65">
        <v>29336903</v>
      </c>
      <c r="BQ39" s="65">
        <v>20823766</v>
      </c>
      <c r="BR39" s="66">
        <v>5886098</v>
      </c>
      <c r="BS39" s="66">
        <v>6774767</v>
      </c>
      <c r="BT39" s="65">
        <v>66139707</v>
      </c>
      <c r="BU39" s="65">
        <v>58196750</v>
      </c>
      <c r="BV39" s="65">
        <v>7921891</v>
      </c>
      <c r="BW39" s="67">
        <v>21067</v>
      </c>
      <c r="BX39" s="65">
        <v>31451448</v>
      </c>
      <c r="BY39" s="65">
        <v>485580914</v>
      </c>
      <c r="BZ39" s="66">
        <v>11253801</v>
      </c>
      <c r="CA39" s="65">
        <v>10173672</v>
      </c>
      <c r="CB39" s="66">
        <v>1080129</v>
      </c>
      <c r="CC39" s="66">
        <v>1652721</v>
      </c>
      <c r="CD39" s="65">
        <v>21898755</v>
      </c>
      <c r="CE39" s="65">
        <v>17716265</v>
      </c>
      <c r="CF39" s="65">
        <v>2421346</v>
      </c>
      <c r="CG39" s="65">
        <v>1761144</v>
      </c>
      <c r="CH39" s="65">
        <v>12193184</v>
      </c>
      <c r="CI39" s="66">
        <v>5193952</v>
      </c>
      <c r="CJ39" s="66">
        <v>6999232</v>
      </c>
      <c r="CK39" s="65">
        <v>28693404</v>
      </c>
      <c r="CL39" s="65">
        <v>11873908</v>
      </c>
      <c r="CM39" s="65">
        <v>16819495</v>
      </c>
      <c r="CN39" s="65">
        <v>10302237</v>
      </c>
      <c r="CO39" s="65">
        <v>5654344</v>
      </c>
      <c r="CP39" s="65">
        <v>4615388</v>
      </c>
      <c r="CQ39" s="69">
        <v>32504</v>
      </c>
      <c r="CR39" s="66">
        <v>0</v>
      </c>
    </row>
    <row r="40" spans="1:96" s="68" customFormat="1" ht="10.199999999999999" x14ac:dyDescent="0.2">
      <c r="A40" s="64" t="s">
        <v>307</v>
      </c>
      <c r="B40" s="65">
        <v>10718334953</v>
      </c>
      <c r="C40" s="65">
        <v>39533631</v>
      </c>
      <c r="D40" s="65">
        <v>33011087</v>
      </c>
      <c r="E40" s="65">
        <v>3698621</v>
      </c>
      <c r="F40" s="65">
        <v>2823923</v>
      </c>
      <c r="G40" s="65">
        <v>194492147</v>
      </c>
      <c r="H40" s="66">
        <v>542049327</v>
      </c>
      <c r="I40" s="65">
        <v>140022029</v>
      </c>
      <c r="J40" s="66">
        <v>67058450</v>
      </c>
      <c r="K40" s="65">
        <v>46289198</v>
      </c>
      <c r="L40" s="65">
        <v>26674382</v>
      </c>
      <c r="M40" s="65">
        <v>2472253261</v>
      </c>
      <c r="N40" s="65">
        <v>139966681</v>
      </c>
      <c r="O40" s="66">
        <v>96984899</v>
      </c>
      <c r="P40" s="65">
        <v>6423056</v>
      </c>
      <c r="Q40" s="66">
        <v>8635080</v>
      </c>
      <c r="R40" s="66">
        <v>297024</v>
      </c>
      <c r="S40" s="65">
        <v>16468990</v>
      </c>
      <c r="T40" s="65">
        <v>70551954</v>
      </c>
      <c r="U40" s="65">
        <v>18479319</v>
      </c>
      <c r="V40" s="65">
        <v>305616402</v>
      </c>
      <c r="W40" s="65">
        <v>437452634</v>
      </c>
      <c r="X40" s="66">
        <v>39724501</v>
      </c>
      <c r="Y40" s="66">
        <v>63673010</v>
      </c>
      <c r="Z40" s="66">
        <v>65869437</v>
      </c>
      <c r="AA40" s="65">
        <v>152888612</v>
      </c>
      <c r="AB40" s="65">
        <v>127443091</v>
      </c>
      <c r="AC40" s="65">
        <v>150288735</v>
      </c>
      <c r="AD40" s="65">
        <v>378773419</v>
      </c>
      <c r="AE40" s="65">
        <v>296502535</v>
      </c>
      <c r="AF40" s="66">
        <v>7400619</v>
      </c>
      <c r="AG40" s="66">
        <v>88813262</v>
      </c>
      <c r="AH40" s="66">
        <v>717796798</v>
      </c>
      <c r="AI40" s="65">
        <v>325762863</v>
      </c>
      <c r="AJ40" s="65">
        <v>122267999</v>
      </c>
      <c r="AK40" s="65">
        <v>203105225</v>
      </c>
      <c r="AL40" s="65">
        <v>389638</v>
      </c>
      <c r="AM40" s="65">
        <v>392018197</v>
      </c>
      <c r="AN40" s="65">
        <v>31560630</v>
      </c>
      <c r="AO40" s="66">
        <v>6983070</v>
      </c>
      <c r="AP40" s="65">
        <v>4612632</v>
      </c>
      <c r="AQ40" s="66">
        <v>53458174</v>
      </c>
      <c r="AR40" s="65">
        <v>43935938</v>
      </c>
      <c r="AS40" s="65">
        <v>32630797</v>
      </c>
      <c r="AT40" s="65">
        <v>16939589</v>
      </c>
      <c r="AU40" s="65">
        <v>17222328</v>
      </c>
      <c r="AV40" s="65">
        <v>14434150</v>
      </c>
      <c r="AW40" s="65">
        <v>76446433</v>
      </c>
      <c r="AX40" s="66">
        <v>16137163</v>
      </c>
      <c r="AY40" s="65">
        <v>77657294</v>
      </c>
      <c r="AZ40" s="67">
        <v>15738</v>
      </c>
      <c r="BA40" s="65">
        <v>204656643</v>
      </c>
      <c r="BB40" s="65">
        <v>119602684</v>
      </c>
      <c r="BC40" s="65">
        <v>23784723</v>
      </c>
      <c r="BD40" s="65">
        <v>5147896</v>
      </c>
      <c r="BE40" s="65">
        <v>21303922</v>
      </c>
      <c r="BF40" s="65">
        <v>24991644</v>
      </c>
      <c r="BG40" s="66">
        <v>9825774</v>
      </c>
      <c r="BH40" s="65">
        <v>622408405</v>
      </c>
      <c r="BI40" s="66">
        <v>108047605</v>
      </c>
      <c r="BJ40" s="65">
        <v>38020929</v>
      </c>
      <c r="BK40" s="65">
        <v>88647735</v>
      </c>
      <c r="BL40" s="65">
        <v>357908877</v>
      </c>
      <c r="BM40" s="65">
        <v>16322565</v>
      </c>
      <c r="BN40" s="66">
        <v>13460693</v>
      </c>
      <c r="BO40" s="66">
        <v>2857092923</v>
      </c>
      <c r="BP40" s="65">
        <v>1617678715</v>
      </c>
      <c r="BQ40" s="65">
        <v>816686987</v>
      </c>
      <c r="BR40" s="66">
        <v>319942037</v>
      </c>
      <c r="BS40" s="66">
        <v>102785185</v>
      </c>
      <c r="BT40" s="65">
        <v>549661017</v>
      </c>
      <c r="BU40" s="65">
        <v>468960124</v>
      </c>
      <c r="BV40" s="65">
        <v>76583271</v>
      </c>
      <c r="BW40" s="66">
        <v>4117622</v>
      </c>
      <c r="BX40" s="65">
        <v>138345520</v>
      </c>
      <c r="BY40" s="65">
        <v>1729332264</v>
      </c>
      <c r="BZ40" s="66">
        <v>90448067</v>
      </c>
      <c r="CA40" s="65">
        <v>62291876</v>
      </c>
      <c r="CB40" s="66">
        <v>28156190</v>
      </c>
      <c r="CC40" s="66">
        <v>10659692</v>
      </c>
      <c r="CD40" s="65">
        <v>134573084</v>
      </c>
      <c r="CE40" s="65">
        <v>37642215</v>
      </c>
      <c r="CF40" s="65">
        <v>21198710</v>
      </c>
      <c r="CG40" s="65">
        <v>75732160</v>
      </c>
      <c r="CH40" s="65">
        <v>40183357</v>
      </c>
      <c r="CI40" s="66">
        <v>9592739</v>
      </c>
      <c r="CJ40" s="66">
        <v>30590618</v>
      </c>
      <c r="CK40" s="65">
        <v>199914612</v>
      </c>
      <c r="CL40" s="65">
        <v>127362233</v>
      </c>
      <c r="CM40" s="65">
        <v>72552379</v>
      </c>
      <c r="CN40" s="65">
        <v>34912175</v>
      </c>
      <c r="CO40" s="65">
        <v>17557264</v>
      </c>
      <c r="CP40" s="65">
        <v>15913086</v>
      </c>
      <c r="CQ40" s="65">
        <v>1441825</v>
      </c>
      <c r="CR40" s="66">
        <v>0</v>
      </c>
    </row>
    <row r="41" spans="1:96" s="68" customFormat="1" ht="10.199999999999999" x14ac:dyDescent="0.2">
      <c r="A41" s="64" t="s">
        <v>225</v>
      </c>
      <c r="B41" s="65">
        <v>8683435932</v>
      </c>
      <c r="C41" s="65">
        <v>4692573</v>
      </c>
      <c r="D41" s="65">
        <v>4146424</v>
      </c>
      <c r="E41" s="65">
        <v>118413</v>
      </c>
      <c r="F41" s="65">
        <v>427737</v>
      </c>
      <c r="G41" s="65">
        <v>149101471</v>
      </c>
      <c r="H41" s="66">
        <v>402040553</v>
      </c>
      <c r="I41" s="65">
        <v>28185420</v>
      </c>
      <c r="J41" s="66">
        <v>10866373</v>
      </c>
      <c r="K41" s="65">
        <v>11659166</v>
      </c>
      <c r="L41" s="65">
        <v>5659880</v>
      </c>
      <c r="M41" s="65">
        <v>1309519812</v>
      </c>
      <c r="N41" s="65">
        <v>49649461</v>
      </c>
      <c r="O41" s="66">
        <v>46648785</v>
      </c>
      <c r="P41" s="65">
        <v>2043854</v>
      </c>
      <c r="Q41" s="66">
        <v>3312145</v>
      </c>
      <c r="R41" s="66">
        <v>280680</v>
      </c>
      <c r="S41" s="65">
        <v>5559743</v>
      </c>
      <c r="T41" s="65">
        <v>33588273</v>
      </c>
      <c r="U41" s="65">
        <v>5847683</v>
      </c>
      <c r="V41" s="65">
        <v>153607442</v>
      </c>
      <c r="W41" s="65">
        <v>246725668</v>
      </c>
      <c r="X41" s="66">
        <v>16044670</v>
      </c>
      <c r="Y41" s="66">
        <v>28189807</v>
      </c>
      <c r="Z41" s="66">
        <v>27728818</v>
      </c>
      <c r="AA41" s="65">
        <v>57140928</v>
      </c>
      <c r="AB41" s="65">
        <v>69359772</v>
      </c>
      <c r="AC41" s="65">
        <v>121693548</v>
      </c>
      <c r="AD41" s="65">
        <v>90897538</v>
      </c>
      <c r="AE41" s="65">
        <v>301876590</v>
      </c>
      <c r="AF41" s="66">
        <v>2644735</v>
      </c>
      <c r="AG41" s="66">
        <v>46679672</v>
      </c>
      <c r="AH41" s="66">
        <v>290533609</v>
      </c>
      <c r="AI41" s="65">
        <v>154707388</v>
      </c>
      <c r="AJ41" s="65">
        <v>61568964</v>
      </c>
      <c r="AK41" s="65">
        <v>93010118</v>
      </c>
      <c r="AL41" s="69">
        <v>128306</v>
      </c>
      <c r="AM41" s="65">
        <v>135826221</v>
      </c>
      <c r="AN41" s="65">
        <v>4707968</v>
      </c>
      <c r="AO41" s="66">
        <v>1997576</v>
      </c>
      <c r="AP41" s="65">
        <v>2957312</v>
      </c>
      <c r="AQ41" s="66">
        <v>4994779</v>
      </c>
      <c r="AR41" s="65">
        <v>20012095</v>
      </c>
      <c r="AS41" s="65">
        <v>7826531</v>
      </c>
      <c r="AT41" s="65">
        <v>3056109</v>
      </c>
      <c r="AU41" s="65">
        <v>11977126</v>
      </c>
      <c r="AV41" s="65">
        <v>4817976</v>
      </c>
      <c r="AW41" s="65">
        <v>21862907</v>
      </c>
      <c r="AX41" s="66">
        <v>4639143</v>
      </c>
      <c r="AY41" s="65">
        <v>46976701</v>
      </c>
      <c r="AZ41" s="66">
        <v>0</v>
      </c>
      <c r="BA41" s="65">
        <v>146273532</v>
      </c>
      <c r="BB41" s="65">
        <v>108903666</v>
      </c>
      <c r="BC41" s="65">
        <v>6575454</v>
      </c>
      <c r="BD41" s="65">
        <v>1104261</v>
      </c>
      <c r="BE41" s="65">
        <v>4347444</v>
      </c>
      <c r="BF41" s="65">
        <v>22917719</v>
      </c>
      <c r="BG41" s="66">
        <v>2424989</v>
      </c>
      <c r="BH41" s="65">
        <v>431057595</v>
      </c>
      <c r="BI41" s="66">
        <v>64345723</v>
      </c>
      <c r="BJ41" s="65">
        <v>22289230</v>
      </c>
      <c r="BK41" s="65">
        <v>41018370</v>
      </c>
      <c r="BL41" s="65">
        <v>290867101</v>
      </c>
      <c r="BM41" s="65">
        <v>5748504</v>
      </c>
      <c r="BN41" s="66">
        <v>6788667</v>
      </c>
      <c r="BO41" s="66">
        <v>4807825020</v>
      </c>
      <c r="BP41" s="65">
        <v>372507430</v>
      </c>
      <c r="BQ41" s="65">
        <v>1213922023</v>
      </c>
      <c r="BR41" s="66">
        <v>3162178765</v>
      </c>
      <c r="BS41" s="66">
        <v>59216803</v>
      </c>
      <c r="BT41" s="65">
        <v>79483355</v>
      </c>
      <c r="BU41" s="65">
        <v>60084254</v>
      </c>
      <c r="BV41" s="65">
        <v>16502104</v>
      </c>
      <c r="BW41" s="66">
        <v>2896997</v>
      </c>
      <c r="BX41" s="65">
        <v>100278392</v>
      </c>
      <c r="BY41" s="65">
        <v>776023419</v>
      </c>
      <c r="BZ41" s="66">
        <v>30254771</v>
      </c>
      <c r="CA41" s="65">
        <v>17236957</v>
      </c>
      <c r="CB41" s="66">
        <v>13017814</v>
      </c>
      <c r="CC41" s="66">
        <v>5640794</v>
      </c>
      <c r="CD41" s="65">
        <v>33911266</v>
      </c>
      <c r="CE41" s="65">
        <v>12918815</v>
      </c>
      <c r="CF41" s="65">
        <v>5583434</v>
      </c>
      <c r="CG41" s="65">
        <v>15409018</v>
      </c>
      <c r="CH41" s="65">
        <v>10237600</v>
      </c>
      <c r="CI41" s="66">
        <v>4302358</v>
      </c>
      <c r="CJ41" s="66">
        <v>5935242</v>
      </c>
      <c r="CK41" s="65">
        <v>64574707</v>
      </c>
      <c r="CL41" s="65">
        <v>35487919</v>
      </c>
      <c r="CM41" s="65">
        <v>29086788</v>
      </c>
      <c r="CN41" s="65">
        <v>13802043</v>
      </c>
      <c r="CO41" s="65">
        <v>2442529</v>
      </c>
      <c r="CP41" s="65">
        <v>10675602</v>
      </c>
      <c r="CQ41" s="65">
        <v>683913</v>
      </c>
      <c r="CR41" s="66">
        <v>0</v>
      </c>
    </row>
    <row r="42" spans="1:96" s="68" customFormat="1" ht="10.199999999999999" x14ac:dyDescent="0.2">
      <c r="A42" s="64" t="s">
        <v>276</v>
      </c>
      <c r="B42" s="65">
        <v>3018667754</v>
      </c>
      <c r="C42" s="65">
        <v>10177222</v>
      </c>
      <c r="D42" s="65">
        <v>8379449</v>
      </c>
      <c r="E42" s="65">
        <v>741706</v>
      </c>
      <c r="F42" s="65">
        <v>1056067</v>
      </c>
      <c r="G42" s="65">
        <v>36336535</v>
      </c>
      <c r="H42" s="66">
        <v>88598696</v>
      </c>
      <c r="I42" s="65">
        <v>14897851</v>
      </c>
      <c r="J42" s="66">
        <v>4711482</v>
      </c>
      <c r="K42" s="65">
        <v>4955806</v>
      </c>
      <c r="L42" s="65">
        <v>5230563</v>
      </c>
      <c r="M42" s="65">
        <v>417717420</v>
      </c>
      <c r="N42" s="65">
        <v>29549948</v>
      </c>
      <c r="O42" s="66">
        <v>8740201</v>
      </c>
      <c r="P42" s="65">
        <v>2447403</v>
      </c>
      <c r="Q42" s="66">
        <v>1454693</v>
      </c>
      <c r="R42" s="66">
        <v>254073</v>
      </c>
      <c r="S42" s="65">
        <v>3116380</v>
      </c>
      <c r="T42" s="65">
        <v>8179923</v>
      </c>
      <c r="U42" s="65">
        <v>2903918</v>
      </c>
      <c r="V42" s="65">
        <v>23499356</v>
      </c>
      <c r="W42" s="65">
        <v>73800500</v>
      </c>
      <c r="X42" s="66">
        <v>8964481</v>
      </c>
      <c r="Y42" s="66">
        <v>7164825</v>
      </c>
      <c r="Z42" s="66">
        <v>17265712</v>
      </c>
      <c r="AA42" s="65">
        <v>41670192</v>
      </c>
      <c r="AB42" s="65">
        <v>24549777</v>
      </c>
      <c r="AC42" s="65">
        <v>71099528</v>
      </c>
      <c r="AD42" s="65">
        <v>9999584</v>
      </c>
      <c r="AE42" s="65">
        <v>64867118</v>
      </c>
      <c r="AF42" s="66">
        <v>1340262</v>
      </c>
      <c r="AG42" s="66">
        <v>16849545</v>
      </c>
      <c r="AH42" s="66">
        <v>153211115</v>
      </c>
      <c r="AI42" s="65">
        <v>92026630</v>
      </c>
      <c r="AJ42" s="65">
        <v>44510500</v>
      </c>
      <c r="AK42" s="65">
        <v>47213315</v>
      </c>
      <c r="AL42" s="65">
        <v>302814</v>
      </c>
      <c r="AM42" s="65">
        <v>61184485</v>
      </c>
      <c r="AN42" s="65">
        <v>8274525</v>
      </c>
      <c r="AO42" s="66">
        <v>1515656</v>
      </c>
      <c r="AP42" s="65">
        <v>3824590</v>
      </c>
      <c r="AQ42" s="66">
        <v>2498779</v>
      </c>
      <c r="AR42" s="65">
        <v>15088461</v>
      </c>
      <c r="AS42" s="65">
        <v>2902529</v>
      </c>
      <c r="AT42" s="65">
        <v>2103135</v>
      </c>
      <c r="AU42" s="65">
        <v>4491393</v>
      </c>
      <c r="AV42" s="65">
        <v>1365857</v>
      </c>
      <c r="AW42" s="65">
        <v>1815948</v>
      </c>
      <c r="AX42" s="66">
        <v>2361038</v>
      </c>
      <c r="AY42" s="65">
        <v>14942574</v>
      </c>
      <c r="AZ42" s="66">
        <v>0</v>
      </c>
      <c r="BA42" s="65">
        <v>28111603</v>
      </c>
      <c r="BB42" s="65">
        <v>17374419</v>
      </c>
      <c r="BC42" s="65">
        <v>1978312</v>
      </c>
      <c r="BD42" s="65">
        <v>544113</v>
      </c>
      <c r="BE42" s="65">
        <v>3599370</v>
      </c>
      <c r="BF42" s="65">
        <v>4000807</v>
      </c>
      <c r="BG42" s="66">
        <v>614583</v>
      </c>
      <c r="BH42" s="65">
        <v>112353597</v>
      </c>
      <c r="BI42" s="66">
        <v>32965266</v>
      </c>
      <c r="BJ42" s="65">
        <v>7555889</v>
      </c>
      <c r="BK42" s="65">
        <v>7025393</v>
      </c>
      <c r="BL42" s="65">
        <v>41066202</v>
      </c>
      <c r="BM42" s="65">
        <v>3225606</v>
      </c>
      <c r="BN42" s="66">
        <v>20515240</v>
      </c>
      <c r="BO42" s="66">
        <v>1690458982</v>
      </c>
      <c r="BP42" s="65">
        <v>198818361</v>
      </c>
      <c r="BQ42" s="65">
        <v>175875490</v>
      </c>
      <c r="BR42" s="66">
        <v>178518103</v>
      </c>
      <c r="BS42" s="66">
        <v>1137247028</v>
      </c>
      <c r="BT42" s="65">
        <v>115496383</v>
      </c>
      <c r="BU42" s="65">
        <v>105854807</v>
      </c>
      <c r="BV42" s="65">
        <v>4295239</v>
      </c>
      <c r="BW42" s="66">
        <v>5346337</v>
      </c>
      <c r="BX42" s="65">
        <v>102268128</v>
      </c>
      <c r="BY42" s="65">
        <v>191979818</v>
      </c>
      <c r="BZ42" s="66">
        <v>12177955</v>
      </c>
      <c r="CA42" s="65">
        <v>10286830</v>
      </c>
      <c r="CB42" s="66">
        <v>1891125</v>
      </c>
      <c r="CC42" s="66">
        <v>2724740</v>
      </c>
      <c r="CD42" s="65">
        <v>8891683</v>
      </c>
      <c r="CE42" s="65">
        <v>3691971</v>
      </c>
      <c r="CF42" s="65">
        <v>3461114</v>
      </c>
      <c r="CG42" s="65">
        <v>1738598</v>
      </c>
      <c r="CH42" s="65">
        <v>6084330</v>
      </c>
      <c r="CI42" s="66">
        <v>1522169</v>
      </c>
      <c r="CJ42" s="66">
        <v>4562161</v>
      </c>
      <c r="CK42" s="65">
        <v>18732169</v>
      </c>
      <c r="CL42" s="65">
        <v>7935101</v>
      </c>
      <c r="CM42" s="65">
        <v>10797069</v>
      </c>
      <c r="CN42" s="65">
        <v>8362566</v>
      </c>
      <c r="CO42" s="65">
        <v>4224734</v>
      </c>
      <c r="CP42" s="65">
        <v>3427465</v>
      </c>
      <c r="CQ42" s="65">
        <v>710367</v>
      </c>
      <c r="CR42" s="67">
        <v>86959</v>
      </c>
    </row>
    <row r="43" spans="1:96" s="68" customFormat="1" ht="10.199999999999999" x14ac:dyDescent="0.2">
      <c r="A43" s="64" t="s">
        <v>277</v>
      </c>
      <c r="B43" s="65">
        <v>24109655430</v>
      </c>
      <c r="C43" s="65">
        <v>31857452</v>
      </c>
      <c r="D43" s="65">
        <v>25776845</v>
      </c>
      <c r="E43" s="65">
        <v>2918096</v>
      </c>
      <c r="F43" s="65">
        <v>3162510</v>
      </c>
      <c r="G43" s="65">
        <v>258941692</v>
      </c>
      <c r="H43" s="66">
        <v>315565446</v>
      </c>
      <c r="I43" s="65">
        <v>105315631</v>
      </c>
      <c r="J43" s="66">
        <v>37508671</v>
      </c>
      <c r="K43" s="65">
        <v>47357150</v>
      </c>
      <c r="L43" s="65">
        <v>20449810</v>
      </c>
      <c r="M43" s="65">
        <v>2808159806</v>
      </c>
      <c r="N43" s="65">
        <v>150870112</v>
      </c>
      <c r="O43" s="66">
        <v>66720883</v>
      </c>
      <c r="P43" s="65">
        <v>6356671</v>
      </c>
      <c r="Q43" s="66">
        <v>6704189</v>
      </c>
      <c r="R43" s="66">
        <v>744946</v>
      </c>
      <c r="S43" s="65">
        <v>9554723</v>
      </c>
      <c r="T43" s="65">
        <v>68739834</v>
      </c>
      <c r="U43" s="65">
        <v>9865291</v>
      </c>
      <c r="V43" s="65">
        <v>515413974</v>
      </c>
      <c r="W43" s="65">
        <v>499551141</v>
      </c>
      <c r="X43" s="66">
        <v>33935911</v>
      </c>
      <c r="Y43" s="66">
        <v>68214068</v>
      </c>
      <c r="Z43" s="66">
        <v>75375936</v>
      </c>
      <c r="AA43" s="65">
        <v>91541235</v>
      </c>
      <c r="AB43" s="65">
        <v>116204358</v>
      </c>
      <c r="AC43" s="65">
        <v>642920384</v>
      </c>
      <c r="AD43" s="65">
        <v>139163332</v>
      </c>
      <c r="AE43" s="65">
        <v>207442233</v>
      </c>
      <c r="AF43" s="66">
        <v>4288440</v>
      </c>
      <c r="AG43" s="66">
        <v>94552144</v>
      </c>
      <c r="AH43" s="66">
        <v>822518644</v>
      </c>
      <c r="AI43" s="65">
        <v>366680352</v>
      </c>
      <c r="AJ43" s="65">
        <v>147118472</v>
      </c>
      <c r="AK43" s="65">
        <v>219322921</v>
      </c>
      <c r="AL43" s="65">
        <v>238959</v>
      </c>
      <c r="AM43" s="65">
        <v>455838292</v>
      </c>
      <c r="AN43" s="65">
        <v>19386962</v>
      </c>
      <c r="AO43" s="66">
        <v>7309230</v>
      </c>
      <c r="AP43" s="65">
        <v>6067795</v>
      </c>
      <c r="AQ43" s="66">
        <v>10041651</v>
      </c>
      <c r="AR43" s="65">
        <v>20865838</v>
      </c>
      <c r="AS43" s="65">
        <v>46017652</v>
      </c>
      <c r="AT43" s="65">
        <v>5079226</v>
      </c>
      <c r="AU43" s="65">
        <v>29141449</v>
      </c>
      <c r="AV43" s="65">
        <v>8445607</v>
      </c>
      <c r="AW43" s="65">
        <v>42259716</v>
      </c>
      <c r="AX43" s="66">
        <v>15147061</v>
      </c>
      <c r="AY43" s="65">
        <v>246076103</v>
      </c>
      <c r="AZ43" s="66">
        <v>0</v>
      </c>
      <c r="BA43" s="65">
        <v>142057286</v>
      </c>
      <c r="BB43" s="65">
        <v>84165052</v>
      </c>
      <c r="BC43" s="65">
        <v>8878053</v>
      </c>
      <c r="BD43" s="65">
        <v>3863798</v>
      </c>
      <c r="BE43" s="65">
        <v>9620746</v>
      </c>
      <c r="BF43" s="65">
        <v>24738663</v>
      </c>
      <c r="BG43" s="66">
        <v>10790975</v>
      </c>
      <c r="BH43" s="65">
        <v>1226150880</v>
      </c>
      <c r="BI43" s="66">
        <v>258235381</v>
      </c>
      <c r="BJ43" s="65">
        <v>38212223</v>
      </c>
      <c r="BK43" s="65">
        <v>121697419</v>
      </c>
      <c r="BL43" s="65">
        <v>651751055</v>
      </c>
      <c r="BM43" s="65">
        <v>36404272</v>
      </c>
      <c r="BN43" s="66">
        <v>119850529</v>
      </c>
      <c r="BO43" s="66">
        <v>14738839394</v>
      </c>
      <c r="BP43" s="65">
        <v>227042072</v>
      </c>
      <c r="BQ43" s="65">
        <v>491323146</v>
      </c>
      <c r="BR43" s="66">
        <v>957971899</v>
      </c>
      <c r="BS43" s="66">
        <v>13062502277</v>
      </c>
      <c r="BT43" s="65">
        <v>588117020</v>
      </c>
      <c r="BU43" s="65">
        <v>541361075</v>
      </c>
      <c r="BV43" s="65">
        <v>41814414</v>
      </c>
      <c r="BW43" s="66">
        <v>4941530</v>
      </c>
      <c r="BX43" s="65">
        <v>416643355</v>
      </c>
      <c r="BY43" s="65">
        <v>2255407142</v>
      </c>
      <c r="BZ43" s="66">
        <v>99293356</v>
      </c>
      <c r="CA43" s="65">
        <v>64454272</v>
      </c>
      <c r="CB43" s="66">
        <v>34839084</v>
      </c>
      <c r="CC43" s="66">
        <v>15606550</v>
      </c>
      <c r="CD43" s="65">
        <v>104953268</v>
      </c>
      <c r="CE43" s="65">
        <v>26213105</v>
      </c>
      <c r="CF43" s="65">
        <v>24538908</v>
      </c>
      <c r="CG43" s="65">
        <v>54201255</v>
      </c>
      <c r="CH43" s="65">
        <v>40490363</v>
      </c>
      <c r="CI43" s="66">
        <v>13915712</v>
      </c>
      <c r="CJ43" s="66">
        <v>26574651</v>
      </c>
      <c r="CK43" s="65">
        <v>122275641</v>
      </c>
      <c r="CL43" s="65">
        <v>72492819</v>
      </c>
      <c r="CM43" s="65">
        <v>49782822</v>
      </c>
      <c r="CN43" s="65">
        <v>17462503</v>
      </c>
      <c r="CO43" s="65">
        <v>6872026</v>
      </c>
      <c r="CP43" s="65">
        <v>9030203</v>
      </c>
      <c r="CQ43" s="65">
        <v>1560274</v>
      </c>
      <c r="CR43" s="66">
        <v>0</v>
      </c>
    </row>
    <row r="44" spans="1:96" s="68" customFormat="1" ht="10.199999999999999" x14ac:dyDescent="0.2">
      <c r="A44" s="64" t="s">
        <v>278</v>
      </c>
      <c r="B44" s="65">
        <v>198497968</v>
      </c>
      <c r="C44" s="65">
        <v>370516</v>
      </c>
      <c r="D44" s="65">
        <v>231207</v>
      </c>
      <c r="E44" s="69">
        <v>124531</v>
      </c>
      <c r="F44" s="69">
        <v>14777</v>
      </c>
      <c r="G44" s="65">
        <v>585229</v>
      </c>
      <c r="H44" s="66">
        <v>2676246</v>
      </c>
      <c r="I44" s="65">
        <v>582538</v>
      </c>
      <c r="J44" s="67">
        <v>92994</v>
      </c>
      <c r="K44" s="65">
        <v>146812</v>
      </c>
      <c r="L44" s="65">
        <v>342732</v>
      </c>
      <c r="M44" s="65">
        <v>5433220</v>
      </c>
      <c r="N44" s="69">
        <v>72310</v>
      </c>
      <c r="O44" s="66">
        <v>0</v>
      </c>
      <c r="P44" s="65">
        <v>2004</v>
      </c>
      <c r="Q44" s="66">
        <v>0</v>
      </c>
      <c r="R44" s="66">
        <v>189</v>
      </c>
      <c r="S44" s="69">
        <v>53469</v>
      </c>
      <c r="T44" s="69">
        <v>14550</v>
      </c>
      <c r="U44" s="69">
        <v>38297</v>
      </c>
      <c r="V44" s="65">
        <v>723113</v>
      </c>
      <c r="W44" s="65">
        <v>61579</v>
      </c>
      <c r="X44" s="66">
        <v>53543</v>
      </c>
      <c r="Y44" s="67">
        <v>2394727</v>
      </c>
      <c r="Z44" s="67">
        <v>5187</v>
      </c>
      <c r="AA44" s="65">
        <v>295349</v>
      </c>
      <c r="AB44" s="65">
        <v>120101</v>
      </c>
      <c r="AC44" s="65">
        <v>293154</v>
      </c>
      <c r="AD44" s="65">
        <v>1138412</v>
      </c>
      <c r="AE44" s="65">
        <v>71197</v>
      </c>
      <c r="AF44" s="67">
        <v>1783</v>
      </c>
      <c r="AG44" s="67">
        <v>94257</v>
      </c>
      <c r="AH44" s="66">
        <v>5345669</v>
      </c>
      <c r="AI44" s="65">
        <v>4358680</v>
      </c>
      <c r="AJ44" s="65">
        <v>411641</v>
      </c>
      <c r="AK44" s="65">
        <v>3947039</v>
      </c>
      <c r="AL44" s="65">
        <v>0</v>
      </c>
      <c r="AM44" s="65">
        <v>986989</v>
      </c>
      <c r="AN44" s="65">
        <v>192053</v>
      </c>
      <c r="AO44" s="67">
        <v>54657</v>
      </c>
      <c r="AP44" s="69">
        <v>7395</v>
      </c>
      <c r="AQ44" s="67">
        <v>115274</v>
      </c>
      <c r="AR44" s="69">
        <v>10540</v>
      </c>
      <c r="AS44" s="69">
        <v>42789</v>
      </c>
      <c r="AT44" s="69">
        <v>49235</v>
      </c>
      <c r="AU44" s="69">
        <v>8594</v>
      </c>
      <c r="AV44" s="69">
        <v>22181</v>
      </c>
      <c r="AW44" s="69">
        <v>131888</v>
      </c>
      <c r="AX44" s="67">
        <v>43104</v>
      </c>
      <c r="AY44" s="69">
        <v>309279</v>
      </c>
      <c r="AZ44" s="66">
        <v>0</v>
      </c>
      <c r="BA44" s="65">
        <v>97314</v>
      </c>
      <c r="BB44" s="69">
        <v>21157</v>
      </c>
      <c r="BC44" s="69">
        <v>16307</v>
      </c>
      <c r="BD44" s="69">
        <v>22647</v>
      </c>
      <c r="BE44" s="65">
        <v>508</v>
      </c>
      <c r="BF44" s="69">
        <v>31199</v>
      </c>
      <c r="BG44" s="67">
        <v>5496</v>
      </c>
      <c r="BH44" s="65">
        <v>1058479</v>
      </c>
      <c r="BI44" s="67">
        <v>247302</v>
      </c>
      <c r="BJ44" s="65">
        <v>4</v>
      </c>
      <c r="BK44" s="69">
        <v>45290</v>
      </c>
      <c r="BL44" s="65">
        <v>691161</v>
      </c>
      <c r="BM44" s="65">
        <v>74722</v>
      </c>
      <c r="BN44" s="66">
        <v>0</v>
      </c>
      <c r="BO44" s="66">
        <v>166485195</v>
      </c>
      <c r="BP44" s="65">
        <v>2205800</v>
      </c>
      <c r="BQ44" s="65">
        <v>549789</v>
      </c>
      <c r="BR44" s="66">
        <v>107257505</v>
      </c>
      <c r="BS44" s="66">
        <v>56472101</v>
      </c>
      <c r="BT44" s="65">
        <v>1561550</v>
      </c>
      <c r="BU44" s="65">
        <v>1528291</v>
      </c>
      <c r="BV44" s="69">
        <v>33259</v>
      </c>
      <c r="BW44" s="66">
        <v>0</v>
      </c>
      <c r="BX44" s="65">
        <v>515889</v>
      </c>
      <c r="BY44" s="65">
        <v>6264931</v>
      </c>
      <c r="BZ44" s="66">
        <v>181589</v>
      </c>
      <c r="CA44" s="65">
        <v>121703</v>
      </c>
      <c r="CB44" s="67">
        <v>59886</v>
      </c>
      <c r="CC44" s="67">
        <v>3115</v>
      </c>
      <c r="CD44" s="65">
        <v>81691</v>
      </c>
      <c r="CE44" s="69">
        <v>41519</v>
      </c>
      <c r="CF44" s="69">
        <v>16553</v>
      </c>
      <c r="CG44" s="69">
        <v>23620</v>
      </c>
      <c r="CH44" s="65">
        <v>142223</v>
      </c>
      <c r="CI44" s="67">
        <v>29333</v>
      </c>
      <c r="CJ44" s="67">
        <v>112889</v>
      </c>
      <c r="CK44" s="65">
        <v>2806299</v>
      </c>
      <c r="CL44" s="69">
        <v>56</v>
      </c>
      <c r="CM44" s="65">
        <v>2806242</v>
      </c>
      <c r="CN44" s="65">
        <v>4306276</v>
      </c>
      <c r="CO44" s="65">
        <v>64351</v>
      </c>
      <c r="CP44" s="69">
        <v>45082</v>
      </c>
      <c r="CQ44" s="65">
        <v>4196843</v>
      </c>
      <c r="CR44" s="66">
        <v>0</v>
      </c>
    </row>
    <row r="45" spans="1:96" s="68" customFormat="1" ht="10.199999999999999" x14ac:dyDescent="0.2">
      <c r="A45" s="64" t="s">
        <v>35</v>
      </c>
      <c r="B45" s="65">
        <v>1825587125</v>
      </c>
      <c r="C45" s="65">
        <v>3777791</v>
      </c>
      <c r="D45" s="65">
        <v>-298757</v>
      </c>
      <c r="E45" s="65">
        <v>2599364</v>
      </c>
      <c r="F45" s="65">
        <v>1477185</v>
      </c>
      <c r="G45" s="65">
        <v>126795375</v>
      </c>
      <c r="H45" s="66">
        <v>-8246067</v>
      </c>
      <c r="I45" s="65">
        <v>111192846</v>
      </c>
      <c r="J45" s="66">
        <v>36156666</v>
      </c>
      <c r="K45" s="65">
        <v>22454698</v>
      </c>
      <c r="L45" s="65">
        <v>52581482</v>
      </c>
      <c r="M45" s="65">
        <v>1209900496</v>
      </c>
      <c r="N45" s="65">
        <v>96034809</v>
      </c>
      <c r="O45" s="66">
        <v>55390179</v>
      </c>
      <c r="P45" s="65">
        <v>2421451</v>
      </c>
      <c r="Q45" s="66">
        <v>6743579</v>
      </c>
      <c r="R45" s="66">
        <v>3128447</v>
      </c>
      <c r="S45" s="65">
        <v>11802258</v>
      </c>
      <c r="T45" s="65">
        <v>31836614</v>
      </c>
      <c r="U45" s="65">
        <v>6765218</v>
      </c>
      <c r="V45" s="65">
        <v>496483251</v>
      </c>
      <c r="W45" s="65">
        <v>327024113</v>
      </c>
      <c r="X45" s="66">
        <v>4362355</v>
      </c>
      <c r="Y45" s="66">
        <v>2183758</v>
      </c>
      <c r="Z45" s="66">
        <v>27749256</v>
      </c>
      <c r="AA45" s="65">
        <v>62289256</v>
      </c>
      <c r="AB45" s="65">
        <v>64094480</v>
      </c>
      <c r="AC45" s="65">
        <v>-82417220</v>
      </c>
      <c r="AD45" s="65">
        <v>105050590</v>
      </c>
      <c r="AE45" s="65">
        <v>-46306158</v>
      </c>
      <c r="AF45" s="66">
        <v>7341314</v>
      </c>
      <c r="AG45" s="66">
        <v>27922948</v>
      </c>
      <c r="AH45" s="66">
        <v>667779070</v>
      </c>
      <c r="AI45" s="65">
        <v>414068636</v>
      </c>
      <c r="AJ45" s="65">
        <v>109573478</v>
      </c>
      <c r="AK45" s="65">
        <v>304657002</v>
      </c>
      <c r="AL45" s="65">
        <v>-161843</v>
      </c>
      <c r="AM45" s="65">
        <v>253711062</v>
      </c>
      <c r="AN45" s="65">
        <v>33603491</v>
      </c>
      <c r="AO45" s="66">
        <v>7486285</v>
      </c>
      <c r="AP45" s="65">
        <v>5753624</v>
      </c>
      <c r="AQ45" s="66">
        <v>41261392</v>
      </c>
      <c r="AR45" s="65">
        <v>29962968</v>
      </c>
      <c r="AS45" s="65">
        <v>32430657</v>
      </c>
      <c r="AT45" s="65">
        <v>6346091</v>
      </c>
      <c r="AU45" s="65">
        <v>29046748</v>
      </c>
      <c r="AV45" s="65">
        <v>945697</v>
      </c>
      <c r="AW45" s="65">
        <v>107713894</v>
      </c>
      <c r="AX45" s="66">
        <v>5345574</v>
      </c>
      <c r="AY45" s="65">
        <v>-46185360</v>
      </c>
      <c r="AZ45" s="67">
        <v>-629</v>
      </c>
      <c r="BA45" s="65">
        <v>26689605</v>
      </c>
      <c r="BB45" s="65">
        <v>2594960</v>
      </c>
      <c r="BC45" s="65">
        <v>17058520</v>
      </c>
      <c r="BD45" s="65">
        <v>-507210</v>
      </c>
      <c r="BE45" s="65">
        <v>-3961044</v>
      </c>
      <c r="BF45" s="65">
        <v>10309959</v>
      </c>
      <c r="BG45" s="66">
        <v>1194420</v>
      </c>
      <c r="BH45" s="65">
        <v>-307739563</v>
      </c>
      <c r="BI45" s="66">
        <v>-16127895</v>
      </c>
      <c r="BJ45" s="65">
        <v>20022422</v>
      </c>
      <c r="BK45" s="65">
        <v>-54194230</v>
      </c>
      <c r="BL45" s="65">
        <v>-161117760</v>
      </c>
      <c r="BM45" s="65">
        <v>-22802203</v>
      </c>
      <c r="BN45" s="66">
        <v>-73519897</v>
      </c>
      <c r="BO45" s="66">
        <v>-479585852</v>
      </c>
      <c r="BP45" s="65">
        <v>-120732551</v>
      </c>
      <c r="BQ45" s="65">
        <v>63851167</v>
      </c>
      <c r="BR45" s="66">
        <v>586899039</v>
      </c>
      <c r="BS45" s="66">
        <v>-1009603506</v>
      </c>
      <c r="BT45" s="65">
        <v>-92534092</v>
      </c>
      <c r="BU45" s="65">
        <v>-90750560</v>
      </c>
      <c r="BV45" s="65">
        <v>-3682427</v>
      </c>
      <c r="BW45" s="66">
        <v>1898895</v>
      </c>
      <c r="BX45" s="65">
        <v>-190894480</v>
      </c>
      <c r="BY45" s="65">
        <v>806861917</v>
      </c>
      <c r="BZ45" s="66">
        <v>-2418795</v>
      </c>
      <c r="CA45" s="65">
        <v>1788946</v>
      </c>
      <c r="CB45" s="66">
        <v>-4207742</v>
      </c>
      <c r="CC45" s="66">
        <v>7278801</v>
      </c>
      <c r="CD45" s="65">
        <v>-47639102</v>
      </c>
      <c r="CE45" s="65">
        <v>-7083870</v>
      </c>
      <c r="CF45" s="65">
        <v>-3315295</v>
      </c>
      <c r="CG45" s="65">
        <v>-37239938</v>
      </c>
      <c r="CH45" s="65">
        <v>-25216805</v>
      </c>
      <c r="CI45" s="66">
        <v>-8171821</v>
      </c>
      <c r="CJ45" s="66">
        <v>-17044985</v>
      </c>
      <c r="CK45" s="65">
        <v>12832575</v>
      </c>
      <c r="CL45" s="65">
        <v>-17511506</v>
      </c>
      <c r="CM45" s="65">
        <v>30344082</v>
      </c>
      <c r="CN45" s="65">
        <v>6756676</v>
      </c>
      <c r="CO45" s="65">
        <v>-717312</v>
      </c>
      <c r="CP45" s="65">
        <v>4147165</v>
      </c>
      <c r="CQ45" s="65">
        <v>3326823</v>
      </c>
      <c r="CR45" s="67">
        <v>-3272</v>
      </c>
    </row>
    <row r="46" spans="1:96" s="63" customFormat="1" ht="10.199999999999999" x14ac:dyDescent="0.2">
      <c r="A46" s="64" t="s">
        <v>279</v>
      </c>
      <c r="B46" s="65">
        <v>1868821284</v>
      </c>
      <c r="C46" s="65">
        <v>2798288</v>
      </c>
      <c r="D46" s="65">
        <v>2481300</v>
      </c>
      <c r="E46" s="65">
        <v>69492</v>
      </c>
      <c r="F46" s="65">
        <v>247496</v>
      </c>
      <c r="G46" s="65">
        <v>24803702</v>
      </c>
      <c r="H46" s="66">
        <v>20184071</v>
      </c>
      <c r="I46" s="65">
        <v>16212874</v>
      </c>
      <c r="J46" s="66">
        <v>8512587</v>
      </c>
      <c r="K46" s="65">
        <v>3181899</v>
      </c>
      <c r="L46" s="65">
        <v>4518387</v>
      </c>
      <c r="M46" s="65">
        <v>972080332</v>
      </c>
      <c r="N46" s="65">
        <v>47264799</v>
      </c>
      <c r="O46" s="66">
        <v>54994395</v>
      </c>
      <c r="P46" s="65">
        <v>942489</v>
      </c>
      <c r="Q46" s="66">
        <v>3349028</v>
      </c>
      <c r="R46" s="66">
        <v>1097963</v>
      </c>
      <c r="S46" s="65">
        <v>1448396</v>
      </c>
      <c r="T46" s="65">
        <v>17665422</v>
      </c>
      <c r="U46" s="65">
        <v>3308465</v>
      </c>
      <c r="V46" s="65">
        <v>222201988</v>
      </c>
      <c r="W46" s="65">
        <v>225791431</v>
      </c>
      <c r="X46" s="66">
        <v>3329783</v>
      </c>
      <c r="Y46" s="66">
        <v>2630568</v>
      </c>
      <c r="Z46" s="66">
        <v>11267544</v>
      </c>
      <c r="AA46" s="65">
        <v>15778581</v>
      </c>
      <c r="AB46" s="65">
        <v>52971534</v>
      </c>
      <c r="AC46" s="65">
        <v>176065793</v>
      </c>
      <c r="AD46" s="65">
        <v>45403477</v>
      </c>
      <c r="AE46" s="65">
        <v>59948218</v>
      </c>
      <c r="AF46" s="66">
        <v>1706377</v>
      </c>
      <c r="AG46" s="66">
        <v>24914084</v>
      </c>
      <c r="AH46" s="66">
        <v>181223316</v>
      </c>
      <c r="AI46" s="65">
        <v>56407683</v>
      </c>
      <c r="AJ46" s="65">
        <v>16738517</v>
      </c>
      <c r="AK46" s="65">
        <v>39627118</v>
      </c>
      <c r="AL46" s="69">
        <v>42048</v>
      </c>
      <c r="AM46" s="65">
        <v>124815632</v>
      </c>
      <c r="AN46" s="65">
        <v>5805453</v>
      </c>
      <c r="AO46" s="66">
        <v>3913625</v>
      </c>
      <c r="AP46" s="65">
        <v>2199201</v>
      </c>
      <c r="AQ46" s="66">
        <v>1783100</v>
      </c>
      <c r="AR46" s="65">
        <v>14656545</v>
      </c>
      <c r="AS46" s="65">
        <v>12832868</v>
      </c>
      <c r="AT46" s="65">
        <v>525656</v>
      </c>
      <c r="AU46" s="65">
        <v>17801878</v>
      </c>
      <c r="AV46" s="65">
        <v>2789910</v>
      </c>
      <c r="AW46" s="65">
        <v>13495335</v>
      </c>
      <c r="AX46" s="66">
        <v>5385796</v>
      </c>
      <c r="AY46" s="65">
        <v>43626265</v>
      </c>
      <c r="AZ46" s="66">
        <v>0</v>
      </c>
      <c r="BA46" s="65">
        <v>22356688</v>
      </c>
      <c r="BB46" s="65">
        <v>16071780</v>
      </c>
      <c r="BC46" s="65">
        <v>3384567</v>
      </c>
      <c r="BD46" s="65">
        <v>245076</v>
      </c>
      <c r="BE46" s="69">
        <v>820150</v>
      </c>
      <c r="BF46" s="65">
        <v>1684735</v>
      </c>
      <c r="BG46" s="66">
        <v>150380</v>
      </c>
      <c r="BH46" s="65">
        <v>233041947</v>
      </c>
      <c r="BI46" s="66">
        <v>147499032</v>
      </c>
      <c r="BJ46" s="65">
        <v>7613347</v>
      </c>
      <c r="BK46" s="65">
        <v>5558844</v>
      </c>
      <c r="BL46" s="65">
        <v>67210801</v>
      </c>
      <c r="BM46" s="65">
        <v>1565208</v>
      </c>
      <c r="BN46" s="66">
        <v>3594714</v>
      </c>
      <c r="BO46" s="66">
        <v>182751312</v>
      </c>
      <c r="BP46" s="65">
        <v>30909327</v>
      </c>
      <c r="BQ46" s="65">
        <v>57627234</v>
      </c>
      <c r="BR46" s="66">
        <v>93120030</v>
      </c>
      <c r="BS46" s="66">
        <v>1094721</v>
      </c>
      <c r="BT46" s="65">
        <v>25151011</v>
      </c>
      <c r="BU46" s="65">
        <v>14325041</v>
      </c>
      <c r="BV46" s="65">
        <v>9213974</v>
      </c>
      <c r="BW46" s="66">
        <v>1611997</v>
      </c>
      <c r="BX46" s="65">
        <v>42077686</v>
      </c>
      <c r="BY46" s="65">
        <v>55775109</v>
      </c>
      <c r="BZ46" s="66">
        <v>19472633</v>
      </c>
      <c r="CA46" s="65">
        <v>13836965</v>
      </c>
      <c r="CB46" s="66">
        <v>5635668</v>
      </c>
      <c r="CC46" s="66">
        <v>5421398</v>
      </c>
      <c r="CD46" s="65">
        <v>7709242</v>
      </c>
      <c r="CE46" s="65">
        <v>2308515</v>
      </c>
      <c r="CF46" s="65">
        <v>3316141</v>
      </c>
      <c r="CG46" s="65">
        <v>2084586</v>
      </c>
      <c r="CH46" s="65">
        <v>3786746</v>
      </c>
      <c r="CI46" s="66">
        <v>277052</v>
      </c>
      <c r="CJ46" s="66">
        <v>3509695</v>
      </c>
      <c r="CK46" s="65">
        <v>49276046</v>
      </c>
      <c r="CL46" s="65">
        <v>8774920</v>
      </c>
      <c r="CM46" s="65">
        <v>40501127</v>
      </c>
      <c r="CN46" s="65">
        <v>4698882</v>
      </c>
      <c r="CO46" s="65">
        <v>1103495</v>
      </c>
      <c r="CP46" s="65">
        <v>3556624</v>
      </c>
      <c r="CQ46" s="69">
        <v>38763</v>
      </c>
      <c r="CR46" s="66">
        <v>0</v>
      </c>
    </row>
    <row r="47" spans="1:96" s="72" customFormat="1" ht="10.199999999999999" x14ac:dyDescent="0.2">
      <c r="A47" s="55" t="s">
        <v>226</v>
      </c>
      <c r="B47" s="59">
        <v>24772531137</v>
      </c>
      <c r="C47" s="59">
        <v>157203773</v>
      </c>
      <c r="D47" s="59">
        <v>117357048</v>
      </c>
      <c r="E47" s="59">
        <v>10050128</v>
      </c>
      <c r="F47" s="59">
        <v>29796597</v>
      </c>
      <c r="G47" s="59">
        <v>355442321</v>
      </c>
      <c r="H47" s="58">
        <v>605048450</v>
      </c>
      <c r="I47" s="59">
        <v>1175201756</v>
      </c>
      <c r="J47" s="58">
        <v>449754745</v>
      </c>
      <c r="K47" s="59">
        <v>218937086</v>
      </c>
      <c r="L47" s="59">
        <v>506509924</v>
      </c>
      <c r="M47" s="59">
        <v>6513315590</v>
      </c>
      <c r="N47" s="59">
        <v>551892151</v>
      </c>
      <c r="O47" s="58">
        <v>159884464</v>
      </c>
      <c r="P47" s="59">
        <v>29492431</v>
      </c>
      <c r="Q47" s="58">
        <v>52922967</v>
      </c>
      <c r="R47" s="58">
        <v>7423442</v>
      </c>
      <c r="S47" s="59">
        <v>61590136</v>
      </c>
      <c r="T47" s="59">
        <v>165258436</v>
      </c>
      <c r="U47" s="59">
        <v>74927840</v>
      </c>
      <c r="V47" s="59">
        <v>1481594144</v>
      </c>
      <c r="W47" s="59">
        <v>870631807</v>
      </c>
      <c r="X47" s="58">
        <v>145989929</v>
      </c>
      <c r="Y47" s="58">
        <v>93210353</v>
      </c>
      <c r="Z47" s="58">
        <v>185468886</v>
      </c>
      <c r="AA47" s="59">
        <v>259300625</v>
      </c>
      <c r="AB47" s="59">
        <v>331507044</v>
      </c>
      <c r="AC47" s="59">
        <v>634677365</v>
      </c>
      <c r="AD47" s="59">
        <v>331019157</v>
      </c>
      <c r="AE47" s="59">
        <v>781883264</v>
      </c>
      <c r="AF47" s="58">
        <v>50144105</v>
      </c>
      <c r="AG47" s="58">
        <v>244497046</v>
      </c>
      <c r="AH47" s="58">
        <v>6691719304</v>
      </c>
      <c r="AI47" s="59">
        <v>3424412150</v>
      </c>
      <c r="AJ47" s="59">
        <v>1472991071</v>
      </c>
      <c r="AK47" s="59">
        <v>1945904455</v>
      </c>
      <c r="AL47" s="59">
        <v>5516625</v>
      </c>
      <c r="AM47" s="59">
        <v>3267307153</v>
      </c>
      <c r="AN47" s="59">
        <v>607315879</v>
      </c>
      <c r="AO47" s="58">
        <v>76362794</v>
      </c>
      <c r="AP47" s="59">
        <v>97680133</v>
      </c>
      <c r="AQ47" s="58">
        <v>207437311</v>
      </c>
      <c r="AR47" s="59">
        <v>521288609</v>
      </c>
      <c r="AS47" s="59">
        <v>326989689</v>
      </c>
      <c r="AT47" s="59">
        <v>255581773</v>
      </c>
      <c r="AU47" s="59">
        <v>178526630</v>
      </c>
      <c r="AV47" s="59">
        <v>82636727</v>
      </c>
      <c r="AW47" s="59">
        <v>633970565</v>
      </c>
      <c r="AX47" s="58">
        <v>109690122</v>
      </c>
      <c r="AY47" s="59">
        <v>169826919</v>
      </c>
      <c r="AZ47" s="58">
        <v>0</v>
      </c>
      <c r="BA47" s="59">
        <v>678635895</v>
      </c>
      <c r="BB47" s="59">
        <v>227107788</v>
      </c>
      <c r="BC47" s="59">
        <v>198482551</v>
      </c>
      <c r="BD47" s="59">
        <v>22608429</v>
      </c>
      <c r="BE47" s="59">
        <v>12722742</v>
      </c>
      <c r="BF47" s="59">
        <v>196834320</v>
      </c>
      <c r="BG47" s="58">
        <v>20880065</v>
      </c>
      <c r="BH47" s="59">
        <v>1047033553</v>
      </c>
      <c r="BI47" s="58">
        <v>258815288</v>
      </c>
      <c r="BJ47" s="59">
        <v>85913822</v>
      </c>
      <c r="BK47" s="59">
        <v>102165334</v>
      </c>
      <c r="BL47" s="59">
        <v>509856561</v>
      </c>
      <c r="BM47" s="59">
        <v>29013459</v>
      </c>
      <c r="BN47" s="58">
        <v>61269089</v>
      </c>
      <c r="BO47" s="58">
        <v>3379016570</v>
      </c>
      <c r="BP47" s="59">
        <v>507596109</v>
      </c>
      <c r="BQ47" s="59">
        <v>336319324</v>
      </c>
      <c r="BR47" s="58">
        <v>2155605232</v>
      </c>
      <c r="BS47" s="58">
        <v>379495905</v>
      </c>
      <c r="BT47" s="59">
        <v>301664776</v>
      </c>
      <c r="BU47" s="59">
        <v>188011478</v>
      </c>
      <c r="BV47" s="59">
        <v>107974822</v>
      </c>
      <c r="BW47" s="58">
        <v>5678476</v>
      </c>
      <c r="BX47" s="59">
        <v>1059370841</v>
      </c>
      <c r="BY47" s="59">
        <v>913393756</v>
      </c>
      <c r="BZ47" s="58">
        <v>441831693</v>
      </c>
      <c r="CA47" s="59">
        <v>375465819</v>
      </c>
      <c r="CB47" s="58">
        <v>66365874</v>
      </c>
      <c r="CC47" s="58">
        <v>57225766</v>
      </c>
      <c r="CD47" s="59">
        <v>667440770</v>
      </c>
      <c r="CE47" s="59">
        <v>428292371</v>
      </c>
      <c r="CF47" s="59">
        <v>104181211</v>
      </c>
      <c r="CG47" s="59">
        <v>134967189</v>
      </c>
      <c r="CH47" s="59">
        <v>94614583</v>
      </c>
      <c r="CI47" s="58">
        <v>45235508</v>
      </c>
      <c r="CJ47" s="58">
        <v>49379075</v>
      </c>
      <c r="CK47" s="59">
        <v>444255869</v>
      </c>
      <c r="CL47" s="59">
        <v>92792732</v>
      </c>
      <c r="CM47" s="59">
        <v>351463137</v>
      </c>
      <c r="CN47" s="59">
        <v>190098960</v>
      </c>
      <c r="CO47" s="59">
        <v>101980940</v>
      </c>
      <c r="CP47" s="59">
        <v>74754488</v>
      </c>
      <c r="CQ47" s="59">
        <v>13363532</v>
      </c>
      <c r="CR47" s="60">
        <v>16911</v>
      </c>
    </row>
    <row r="48" spans="1:96" s="68" customFormat="1" ht="10.199999999999999" x14ac:dyDescent="0.2">
      <c r="A48" s="64" t="s">
        <v>227</v>
      </c>
      <c r="B48" s="65">
        <v>21584886008</v>
      </c>
      <c r="C48" s="65">
        <v>140706381</v>
      </c>
      <c r="D48" s="65">
        <v>102607632</v>
      </c>
      <c r="E48" s="65">
        <v>9653771</v>
      </c>
      <c r="F48" s="65">
        <v>28444978</v>
      </c>
      <c r="G48" s="65">
        <v>315107700</v>
      </c>
      <c r="H48" s="66">
        <v>570638816</v>
      </c>
      <c r="I48" s="65">
        <v>1157122208</v>
      </c>
      <c r="J48" s="66">
        <v>442404266</v>
      </c>
      <c r="K48" s="65">
        <v>212456396</v>
      </c>
      <c r="L48" s="65">
        <v>502261547</v>
      </c>
      <c r="M48" s="65">
        <v>5956916276</v>
      </c>
      <c r="N48" s="65">
        <v>538950693</v>
      </c>
      <c r="O48" s="66">
        <v>146654398</v>
      </c>
      <c r="P48" s="65">
        <v>28847833</v>
      </c>
      <c r="Q48" s="66">
        <v>51184428</v>
      </c>
      <c r="R48" s="66">
        <v>6996433</v>
      </c>
      <c r="S48" s="65">
        <v>59679713</v>
      </c>
      <c r="T48" s="65">
        <v>157031263</v>
      </c>
      <c r="U48" s="65">
        <v>73980225</v>
      </c>
      <c r="V48" s="65">
        <v>1393457201</v>
      </c>
      <c r="W48" s="65">
        <v>725534562</v>
      </c>
      <c r="X48" s="66">
        <v>142770333</v>
      </c>
      <c r="Y48" s="66">
        <v>89348615</v>
      </c>
      <c r="Z48" s="66">
        <v>179977083</v>
      </c>
      <c r="AA48" s="65">
        <v>250720364</v>
      </c>
      <c r="AB48" s="65">
        <v>313278922</v>
      </c>
      <c r="AC48" s="65">
        <v>574019239</v>
      </c>
      <c r="AD48" s="65">
        <v>224231535</v>
      </c>
      <c r="AE48" s="65">
        <v>721361148</v>
      </c>
      <c r="AF48" s="66">
        <v>49397689</v>
      </c>
      <c r="AG48" s="66">
        <v>229494599</v>
      </c>
      <c r="AH48" s="66">
        <v>6556095155</v>
      </c>
      <c r="AI48" s="65">
        <v>3361297529</v>
      </c>
      <c r="AJ48" s="65">
        <v>1446464331</v>
      </c>
      <c r="AK48" s="65">
        <v>1909327548</v>
      </c>
      <c r="AL48" s="65">
        <v>5505650</v>
      </c>
      <c r="AM48" s="65">
        <v>3194797626</v>
      </c>
      <c r="AN48" s="65">
        <v>594967371</v>
      </c>
      <c r="AO48" s="66">
        <v>75329916</v>
      </c>
      <c r="AP48" s="65">
        <v>96122910</v>
      </c>
      <c r="AQ48" s="66">
        <v>202675031</v>
      </c>
      <c r="AR48" s="65">
        <v>512799814</v>
      </c>
      <c r="AS48" s="65">
        <v>320840628</v>
      </c>
      <c r="AT48" s="65">
        <v>253312956</v>
      </c>
      <c r="AU48" s="65">
        <v>173729565</v>
      </c>
      <c r="AV48" s="65">
        <v>80429498</v>
      </c>
      <c r="AW48" s="65">
        <v>614028670</v>
      </c>
      <c r="AX48" s="66">
        <v>107675079</v>
      </c>
      <c r="AY48" s="65">
        <v>162886189</v>
      </c>
      <c r="AZ48" s="66">
        <v>0</v>
      </c>
      <c r="BA48" s="65">
        <v>655972988</v>
      </c>
      <c r="BB48" s="65">
        <v>220358593</v>
      </c>
      <c r="BC48" s="65">
        <v>192069221</v>
      </c>
      <c r="BD48" s="65">
        <v>22001880</v>
      </c>
      <c r="BE48" s="65">
        <v>10810058</v>
      </c>
      <c r="BF48" s="65">
        <v>190534107</v>
      </c>
      <c r="BG48" s="66">
        <v>20199130</v>
      </c>
      <c r="BH48" s="65">
        <v>924228270</v>
      </c>
      <c r="BI48" s="66">
        <v>220057900</v>
      </c>
      <c r="BJ48" s="65">
        <v>75682067</v>
      </c>
      <c r="BK48" s="65">
        <v>88908660</v>
      </c>
      <c r="BL48" s="65">
        <v>455878368</v>
      </c>
      <c r="BM48" s="65">
        <v>26900369</v>
      </c>
      <c r="BN48" s="66">
        <v>56800905</v>
      </c>
      <c r="BO48" s="66">
        <v>2048457108</v>
      </c>
      <c r="BP48" s="65">
        <v>131886409</v>
      </c>
      <c r="BQ48" s="65">
        <v>198791696</v>
      </c>
      <c r="BR48" s="66">
        <v>1716332422</v>
      </c>
      <c r="BS48" s="66">
        <v>1446581</v>
      </c>
      <c r="BT48" s="65">
        <v>207396107</v>
      </c>
      <c r="BU48" s="65">
        <v>110331976</v>
      </c>
      <c r="BV48" s="65">
        <v>94322307</v>
      </c>
      <c r="BW48" s="66">
        <v>2741824</v>
      </c>
      <c r="BX48" s="65">
        <v>1026717955</v>
      </c>
      <c r="BY48" s="65">
        <v>215313771</v>
      </c>
      <c r="BZ48" s="66">
        <v>429622382</v>
      </c>
      <c r="CA48" s="65">
        <v>364730218</v>
      </c>
      <c r="CB48" s="66">
        <v>64892164</v>
      </c>
      <c r="CC48" s="66">
        <v>55914157</v>
      </c>
      <c r="CD48" s="65">
        <v>641664925</v>
      </c>
      <c r="CE48" s="65">
        <v>414884306</v>
      </c>
      <c r="CF48" s="65">
        <v>101613667</v>
      </c>
      <c r="CG48" s="65">
        <v>125166953</v>
      </c>
      <c r="CH48" s="65">
        <v>87054526</v>
      </c>
      <c r="CI48" s="66">
        <v>41873868</v>
      </c>
      <c r="CJ48" s="66">
        <v>45180658</v>
      </c>
      <c r="CK48" s="65">
        <v>412900300</v>
      </c>
      <c r="CL48" s="65">
        <v>78250277</v>
      </c>
      <c r="CM48" s="65">
        <v>334650023</v>
      </c>
      <c r="CN48" s="65">
        <v>183044761</v>
      </c>
      <c r="CO48" s="65">
        <v>100631611</v>
      </c>
      <c r="CP48" s="65">
        <v>72510568</v>
      </c>
      <c r="CQ48" s="65">
        <v>9902582</v>
      </c>
      <c r="CR48" s="67">
        <v>12223</v>
      </c>
    </row>
    <row r="49" spans="1:96" s="68" customFormat="1" ht="10.199999999999999" x14ac:dyDescent="0.2">
      <c r="A49" s="64" t="s">
        <v>228</v>
      </c>
      <c r="B49" s="65">
        <v>1478717150</v>
      </c>
      <c r="C49" s="65">
        <v>336186</v>
      </c>
      <c r="D49" s="65">
        <v>243507</v>
      </c>
      <c r="E49" s="65">
        <v>71691</v>
      </c>
      <c r="F49" s="65">
        <v>20989</v>
      </c>
      <c r="G49" s="65">
        <v>3452681</v>
      </c>
      <c r="H49" s="66">
        <v>5811149</v>
      </c>
      <c r="I49" s="65">
        <v>1573632</v>
      </c>
      <c r="J49" s="66">
        <v>962388</v>
      </c>
      <c r="K49" s="65">
        <v>399516</v>
      </c>
      <c r="L49" s="65">
        <v>211729</v>
      </c>
      <c r="M49" s="65">
        <v>118594765</v>
      </c>
      <c r="N49" s="65">
        <v>3096789</v>
      </c>
      <c r="O49" s="66">
        <v>566369</v>
      </c>
      <c r="P49" s="65">
        <v>60413</v>
      </c>
      <c r="Q49" s="66">
        <v>59119</v>
      </c>
      <c r="R49" s="66">
        <v>8152</v>
      </c>
      <c r="S49" s="65">
        <v>217254</v>
      </c>
      <c r="T49" s="65">
        <v>1773817</v>
      </c>
      <c r="U49" s="65">
        <v>200948</v>
      </c>
      <c r="V49" s="65">
        <v>11446052</v>
      </c>
      <c r="W49" s="65">
        <v>7553593</v>
      </c>
      <c r="X49" s="66">
        <v>429644</v>
      </c>
      <c r="Y49" s="66">
        <v>546442</v>
      </c>
      <c r="Z49" s="66">
        <v>2052492</v>
      </c>
      <c r="AA49" s="65">
        <v>2838567</v>
      </c>
      <c r="AB49" s="65">
        <v>4473509</v>
      </c>
      <c r="AC49" s="65">
        <v>5440657</v>
      </c>
      <c r="AD49" s="65">
        <v>57729363</v>
      </c>
      <c r="AE49" s="65">
        <v>17244990</v>
      </c>
      <c r="AF49" s="66">
        <v>41540</v>
      </c>
      <c r="AG49" s="66">
        <v>2815053</v>
      </c>
      <c r="AH49" s="66">
        <v>18568488</v>
      </c>
      <c r="AI49" s="65">
        <v>10804751</v>
      </c>
      <c r="AJ49" s="65">
        <v>3798005</v>
      </c>
      <c r="AK49" s="65">
        <v>7003128</v>
      </c>
      <c r="AL49" s="65">
        <v>3618</v>
      </c>
      <c r="AM49" s="65">
        <v>7763737</v>
      </c>
      <c r="AN49" s="65">
        <v>674158</v>
      </c>
      <c r="AO49" s="66">
        <v>246313</v>
      </c>
      <c r="AP49" s="65">
        <v>204744</v>
      </c>
      <c r="AQ49" s="66">
        <v>449861</v>
      </c>
      <c r="AR49" s="65">
        <v>571593</v>
      </c>
      <c r="AS49" s="65">
        <v>189099</v>
      </c>
      <c r="AT49" s="65">
        <v>55430</v>
      </c>
      <c r="AU49" s="65">
        <v>575645</v>
      </c>
      <c r="AV49" s="65">
        <v>323663</v>
      </c>
      <c r="AW49" s="65">
        <v>2918383</v>
      </c>
      <c r="AX49" s="66">
        <v>238867</v>
      </c>
      <c r="AY49" s="65">
        <v>1315981</v>
      </c>
      <c r="AZ49" s="66">
        <v>0</v>
      </c>
      <c r="BA49" s="65">
        <v>2281787</v>
      </c>
      <c r="BB49" s="65">
        <v>608674</v>
      </c>
      <c r="BC49" s="65">
        <v>337464</v>
      </c>
      <c r="BD49" s="65">
        <v>201073</v>
      </c>
      <c r="BE49" s="65">
        <v>107758</v>
      </c>
      <c r="BF49" s="65">
        <v>977340</v>
      </c>
      <c r="BG49" s="66">
        <v>49477</v>
      </c>
      <c r="BH49" s="65">
        <v>16748818</v>
      </c>
      <c r="BI49" s="66">
        <v>1623233</v>
      </c>
      <c r="BJ49" s="65">
        <v>722631</v>
      </c>
      <c r="BK49" s="65">
        <v>2081303</v>
      </c>
      <c r="BL49" s="65">
        <v>11990473</v>
      </c>
      <c r="BM49" s="65">
        <v>112753</v>
      </c>
      <c r="BN49" s="66">
        <v>218425</v>
      </c>
      <c r="BO49" s="66">
        <v>783773851</v>
      </c>
      <c r="BP49" s="65">
        <v>298343542</v>
      </c>
      <c r="BQ49" s="65">
        <v>90107615</v>
      </c>
      <c r="BR49" s="66">
        <v>218381932</v>
      </c>
      <c r="BS49" s="66">
        <v>176940763</v>
      </c>
      <c r="BT49" s="65">
        <v>8961649</v>
      </c>
      <c r="BU49" s="65">
        <v>6853923</v>
      </c>
      <c r="BV49" s="65">
        <v>2045353</v>
      </c>
      <c r="BW49" s="66">
        <v>62372</v>
      </c>
      <c r="BX49" s="65">
        <v>4070762</v>
      </c>
      <c r="BY49" s="65">
        <v>508641762</v>
      </c>
      <c r="BZ49" s="66">
        <v>1118052</v>
      </c>
      <c r="CA49" s="65">
        <v>1022686</v>
      </c>
      <c r="CB49" s="66">
        <v>95366</v>
      </c>
      <c r="CC49" s="66">
        <v>139206</v>
      </c>
      <c r="CD49" s="65">
        <v>1353442</v>
      </c>
      <c r="CE49" s="65">
        <v>346593</v>
      </c>
      <c r="CF49" s="65">
        <v>116344</v>
      </c>
      <c r="CG49" s="65">
        <v>890506</v>
      </c>
      <c r="CH49" s="65">
        <v>629978</v>
      </c>
      <c r="CI49" s="66">
        <v>170186</v>
      </c>
      <c r="CJ49" s="66">
        <v>459792</v>
      </c>
      <c r="CK49" s="65">
        <v>2227594</v>
      </c>
      <c r="CL49" s="65">
        <v>1592513</v>
      </c>
      <c r="CM49" s="65">
        <v>635081</v>
      </c>
      <c r="CN49" s="65">
        <v>433346</v>
      </c>
      <c r="CO49" s="65">
        <v>179282</v>
      </c>
      <c r="CP49" s="65">
        <v>93919</v>
      </c>
      <c r="CQ49" s="65">
        <v>160146</v>
      </c>
      <c r="CR49" s="66">
        <v>0</v>
      </c>
    </row>
    <row r="50" spans="1:96" s="68" customFormat="1" ht="10.199999999999999" x14ac:dyDescent="0.2">
      <c r="A50" s="64" t="s">
        <v>308</v>
      </c>
      <c r="B50" s="65">
        <v>61095733</v>
      </c>
      <c r="C50" s="65">
        <v>48354</v>
      </c>
      <c r="D50" s="65">
        <v>42260</v>
      </c>
      <c r="E50" s="69">
        <v>1656</v>
      </c>
      <c r="F50" s="65">
        <v>4439</v>
      </c>
      <c r="G50" s="65">
        <v>55295</v>
      </c>
      <c r="H50" s="66">
        <v>101245</v>
      </c>
      <c r="I50" s="65">
        <v>214475</v>
      </c>
      <c r="J50" s="66">
        <v>82930</v>
      </c>
      <c r="K50" s="65">
        <v>63193</v>
      </c>
      <c r="L50" s="65">
        <v>68352</v>
      </c>
      <c r="M50" s="65">
        <v>787694</v>
      </c>
      <c r="N50" s="65">
        <v>23520</v>
      </c>
      <c r="O50" s="66">
        <v>10262</v>
      </c>
      <c r="P50" s="65">
        <v>16010</v>
      </c>
      <c r="Q50" s="66">
        <v>2797</v>
      </c>
      <c r="R50" s="67">
        <v>936</v>
      </c>
      <c r="S50" s="65">
        <v>5122</v>
      </c>
      <c r="T50" s="65">
        <v>4572</v>
      </c>
      <c r="U50" s="65">
        <v>5934</v>
      </c>
      <c r="V50" s="65">
        <v>68381</v>
      </c>
      <c r="W50" s="65">
        <v>64693</v>
      </c>
      <c r="X50" s="66">
        <v>17429</v>
      </c>
      <c r="Y50" s="66">
        <v>5508</v>
      </c>
      <c r="Z50" s="66">
        <v>10700</v>
      </c>
      <c r="AA50" s="65">
        <v>38807</v>
      </c>
      <c r="AB50" s="65">
        <v>73550</v>
      </c>
      <c r="AC50" s="65">
        <v>169552</v>
      </c>
      <c r="AD50" s="65">
        <v>207414</v>
      </c>
      <c r="AE50" s="65">
        <v>15775</v>
      </c>
      <c r="AF50" s="66">
        <v>7288</v>
      </c>
      <c r="AG50" s="66">
        <v>39445</v>
      </c>
      <c r="AH50" s="66">
        <v>522410</v>
      </c>
      <c r="AI50" s="65">
        <v>270929</v>
      </c>
      <c r="AJ50" s="65">
        <v>96180</v>
      </c>
      <c r="AK50" s="65">
        <v>174750</v>
      </c>
      <c r="AL50" s="65">
        <v>0</v>
      </c>
      <c r="AM50" s="65">
        <v>251481</v>
      </c>
      <c r="AN50" s="65">
        <v>8210</v>
      </c>
      <c r="AO50" s="66">
        <v>5246</v>
      </c>
      <c r="AP50" s="65">
        <v>106957</v>
      </c>
      <c r="AQ50" s="66">
        <v>30707</v>
      </c>
      <c r="AR50" s="65">
        <v>27697</v>
      </c>
      <c r="AS50" s="65">
        <v>5182</v>
      </c>
      <c r="AT50" s="65">
        <v>8818</v>
      </c>
      <c r="AU50" s="65">
        <v>25194</v>
      </c>
      <c r="AV50" s="69">
        <v>4838</v>
      </c>
      <c r="AW50" s="65">
        <v>23125</v>
      </c>
      <c r="AX50" s="66">
        <v>1954</v>
      </c>
      <c r="AY50" s="65">
        <v>3552</v>
      </c>
      <c r="AZ50" s="66">
        <v>0</v>
      </c>
      <c r="BA50" s="65">
        <v>47209</v>
      </c>
      <c r="BB50" s="65">
        <v>13254</v>
      </c>
      <c r="BC50" s="65">
        <v>15200</v>
      </c>
      <c r="BD50" s="69">
        <v>1036</v>
      </c>
      <c r="BE50" s="69">
        <v>203</v>
      </c>
      <c r="BF50" s="65">
        <v>14621</v>
      </c>
      <c r="BG50" s="66">
        <v>2895</v>
      </c>
      <c r="BH50" s="65">
        <v>240753</v>
      </c>
      <c r="BI50" s="66">
        <v>96641</v>
      </c>
      <c r="BJ50" s="65">
        <v>6290</v>
      </c>
      <c r="BK50" s="65">
        <v>26062</v>
      </c>
      <c r="BL50" s="65">
        <v>61656</v>
      </c>
      <c r="BM50" s="69">
        <v>2036</v>
      </c>
      <c r="BN50" s="66">
        <v>48068</v>
      </c>
      <c r="BO50" s="66">
        <v>48930258</v>
      </c>
      <c r="BP50" s="65">
        <v>3293953</v>
      </c>
      <c r="BQ50" s="65">
        <v>566722</v>
      </c>
      <c r="BR50" s="66">
        <v>16582622</v>
      </c>
      <c r="BS50" s="66">
        <v>28486961</v>
      </c>
      <c r="BT50" s="65">
        <v>171851</v>
      </c>
      <c r="BU50" s="65">
        <v>131342</v>
      </c>
      <c r="BV50" s="65">
        <v>28218</v>
      </c>
      <c r="BW50" s="66">
        <v>12291</v>
      </c>
      <c r="BX50" s="65">
        <v>95240</v>
      </c>
      <c r="BY50" s="65">
        <v>9697700</v>
      </c>
      <c r="BZ50" s="66">
        <v>46650</v>
      </c>
      <c r="CA50" s="65">
        <v>43032</v>
      </c>
      <c r="CB50" s="66">
        <v>3617</v>
      </c>
      <c r="CC50" s="66">
        <v>12627</v>
      </c>
      <c r="CD50" s="65">
        <v>68690</v>
      </c>
      <c r="CE50" s="65">
        <v>25343</v>
      </c>
      <c r="CF50" s="65">
        <v>2913</v>
      </c>
      <c r="CG50" s="65">
        <v>40434</v>
      </c>
      <c r="CH50" s="65">
        <v>15915</v>
      </c>
      <c r="CI50" s="66">
        <v>10782</v>
      </c>
      <c r="CJ50" s="66">
        <v>5133</v>
      </c>
      <c r="CK50" s="65">
        <v>11397</v>
      </c>
      <c r="CL50" s="65">
        <v>5734</v>
      </c>
      <c r="CM50" s="65">
        <v>5663</v>
      </c>
      <c r="CN50" s="65">
        <v>27972</v>
      </c>
      <c r="CO50" s="65">
        <v>2614</v>
      </c>
      <c r="CP50" s="65">
        <v>9214</v>
      </c>
      <c r="CQ50" s="65">
        <v>16144</v>
      </c>
      <c r="CR50" s="66">
        <v>0</v>
      </c>
    </row>
    <row r="51" spans="1:96" s="68" customFormat="1" ht="10.199999999999999" x14ac:dyDescent="0.2">
      <c r="A51" s="64" t="s">
        <v>229</v>
      </c>
      <c r="B51" s="65">
        <v>134670520</v>
      </c>
      <c r="C51" s="65">
        <v>946377</v>
      </c>
      <c r="D51" s="65">
        <v>884882</v>
      </c>
      <c r="E51" s="65">
        <v>36133</v>
      </c>
      <c r="F51" s="65">
        <v>25361</v>
      </c>
      <c r="G51" s="65">
        <v>2869221</v>
      </c>
      <c r="H51" s="66">
        <v>2208103</v>
      </c>
      <c r="I51" s="65">
        <v>1259039</v>
      </c>
      <c r="J51" s="66">
        <v>508548</v>
      </c>
      <c r="K51" s="65">
        <v>427250</v>
      </c>
      <c r="L51" s="65">
        <v>323241</v>
      </c>
      <c r="M51" s="65">
        <v>26282138</v>
      </c>
      <c r="N51" s="65">
        <v>402311</v>
      </c>
      <c r="O51" s="66">
        <v>1461018</v>
      </c>
      <c r="P51" s="65">
        <v>10501</v>
      </c>
      <c r="Q51" s="66">
        <v>14989</v>
      </c>
      <c r="R51" s="67">
        <v>445</v>
      </c>
      <c r="S51" s="65">
        <v>30192</v>
      </c>
      <c r="T51" s="65">
        <v>41610</v>
      </c>
      <c r="U51" s="65">
        <v>30676</v>
      </c>
      <c r="V51" s="65">
        <v>1444626</v>
      </c>
      <c r="W51" s="65">
        <v>491867</v>
      </c>
      <c r="X51" s="66">
        <v>47880</v>
      </c>
      <c r="Y51" s="66">
        <v>62502</v>
      </c>
      <c r="Z51" s="66">
        <v>93917</v>
      </c>
      <c r="AA51" s="65">
        <v>150207</v>
      </c>
      <c r="AB51" s="65">
        <v>1483686</v>
      </c>
      <c r="AC51" s="65">
        <v>1641114</v>
      </c>
      <c r="AD51" s="65">
        <v>11479530</v>
      </c>
      <c r="AE51" s="65">
        <v>6534454</v>
      </c>
      <c r="AF51" s="66">
        <v>29608</v>
      </c>
      <c r="AG51" s="66">
        <v>831005</v>
      </c>
      <c r="AH51" s="66">
        <v>5957591</v>
      </c>
      <c r="AI51" s="65">
        <v>3083501</v>
      </c>
      <c r="AJ51" s="65">
        <v>1416366</v>
      </c>
      <c r="AK51" s="65">
        <v>1664016</v>
      </c>
      <c r="AL51" s="69">
        <v>3119</v>
      </c>
      <c r="AM51" s="65">
        <v>2874090</v>
      </c>
      <c r="AN51" s="65">
        <v>340978</v>
      </c>
      <c r="AO51" s="66">
        <v>30822</v>
      </c>
      <c r="AP51" s="65">
        <v>15769</v>
      </c>
      <c r="AQ51" s="66">
        <v>413638</v>
      </c>
      <c r="AR51" s="65">
        <v>577617</v>
      </c>
      <c r="AS51" s="65">
        <v>149890</v>
      </c>
      <c r="AT51" s="65">
        <v>111196</v>
      </c>
      <c r="AU51" s="65">
        <v>116492</v>
      </c>
      <c r="AV51" s="65">
        <v>118250</v>
      </c>
      <c r="AW51" s="65">
        <v>871603</v>
      </c>
      <c r="AX51" s="66">
        <v>41420</v>
      </c>
      <c r="AY51" s="65">
        <v>86415</v>
      </c>
      <c r="AZ51" s="66">
        <v>0</v>
      </c>
      <c r="BA51" s="65">
        <v>1447357</v>
      </c>
      <c r="BB51" s="65">
        <v>867900</v>
      </c>
      <c r="BC51" s="65">
        <v>255748</v>
      </c>
      <c r="BD51" s="65">
        <v>42764</v>
      </c>
      <c r="BE51" s="65">
        <v>40823</v>
      </c>
      <c r="BF51" s="65">
        <v>213731</v>
      </c>
      <c r="BG51" s="66">
        <v>26391</v>
      </c>
      <c r="BH51" s="65">
        <v>10521060</v>
      </c>
      <c r="BI51" s="66">
        <v>402430</v>
      </c>
      <c r="BJ51" s="65">
        <v>161434</v>
      </c>
      <c r="BK51" s="65">
        <v>330110</v>
      </c>
      <c r="BL51" s="65">
        <v>9476156</v>
      </c>
      <c r="BM51" s="65">
        <v>62473</v>
      </c>
      <c r="BN51" s="66">
        <v>88457</v>
      </c>
      <c r="BO51" s="66">
        <v>15229839</v>
      </c>
      <c r="BP51" s="65">
        <v>1075531</v>
      </c>
      <c r="BQ51" s="65">
        <v>781463</v>
      </c>
      <c r="BR51" s="66">
        <v>10504541</v>
      </c>
      <c r="BS51" s="66">
        <v>2868304</v>
      </c>
      <c r="BT51" s="65">
        <v>46212585</v>
      </c>
      <c r="BU51" s="65">
        <v>45822362</v>
      </c>
      <c r="BV51" s="65">
        <v>384794</v>
      </c>
      <c r="BW51" s="66">
        <v>5429</v>
      </c>
      <c r="BX51" s="65">
        <v>608152</v>
      </c>
      <c r="BY51" s="65">
        <v>18047908</v>
      </c>
      <c r="BZ51" s="66">
        <v>216062</v>
      </c>
      <c r="CA51" s="65">
        <v>149601</v>
      </c>
      <c r="CB51" s="66">
        <v>66461</v>
      </c>
      <c r="CC51" s="66">
        <v>37782</v>
      </c>
      <c r="CD51" s="65">
        <v>828237</v>
      </c>
      <c r="CE51" s="65">
        <v>251040</v>
      </c>
      <c r="CF51" s="65">
        <v>19740</v>
      </c>
      <c r="CG51" s="65">
        <v>557457</v>
      </c>
      <c r="CH51" s="65">
        <v>272112</v>
      </c>
      <c r="CI51" s="66">
        <v>110939</v>
      </c>
      <c r="CJ51" s="66">
        <v>161173</v>
      </c>
      <c r="CK51" s="65">
        <v>1589726</v>
      </c>
      <c r="CL51" s="65">
        <v>928662</v>
      </c>
      <c r="CM51" s="65">
        <v>661065</v>
      </c>
      <c r="CN51" s="65">
        <v>137233</v>
      </c>
      <c r="CO51" s="65">
        <v>40483</v>
      </c>
      <c r="CP51" s="65">
        <v>60285</v>
      </c>
      <c r="CQ51" s="65">
        <v>36464</v>
      </c>
      <c r="CR51" s="66">
        <v>0</v>
      </c>
    </row>
    <row r="52" spans="1:96" s="68" customFormat="1" ht="10.199999999999999" x14ac:dyDescent="0.2">
      <c r="A52" s="64" t="s">
        <v>230</v>
      </c>
      <c r="B52" s="65">
        <v>161592002</v>
      </c>
      <c r="C52" s="65">
        <v>80131</v>
      </c>
      <c r="D52" s="65">
        <v>70923</v>
      </c>
      <c r="E52" s="69">
        <v>4864</v>
      </c>
      <c r="F52" s="69">
        <v>4344</v>
      </c>
      <c r="G52" s="65">
        <v>1879292</v>
      </c>
      <c r="H52" s="66">
        <v>53192</v>
      </c>
      <c r="I52" s="65">
        <v>124286</v>
      </c>
      <c r="J52" s="66">
        <v>22093</v>
      </c>
      <c r="K52" s="65">
        <v>94962</v>
      </c>
      <c r="L52" s="65">
        <v>7231</v>
      </c>
      <c r="M52" s="65">
        <v>100831253</v>
      </c>
      <c r="N52" s="65">
        <v>2102688</v>
      </c>
      <c r="O52" s="66">
        <v>2203460</v>
      </c>
      <c r="P52" s="65">
        <v>63701</v>
      </c>
      <c r="Q52" s="66">
        <v>932357</v>
      </c>
      <c r="R52" s="66">
        <v>143541</v>
      </c>
      <c r="S52" s="65">
        <v>18661</v>
      </c>
      <c r="T52" s="65">
        <v>1963271</v>
      </c>
      <c r="U52" s="65">
        <v>50001</v>
      </c>
      <c r="V52" s="65">
        <v>952281</v>
      </c>
      <c r="W52" s="65">
        <v>36082571</v>
      </c>
      <c r="X52" s="66">
        <v>605238</v>
      </c>
      <c r="Y52" s="66">
        <v>983990</v>
      </c>
      <c r="Z52" s="66">
        <v>223531</v>
      </c>
      <c r="AA52" s="65">
        <v>754766</v>
      </c>
      <c r="AB52" s="65">
        <v>2945428</v>
      </c>
      <c r="AC52" s="65">
        <v>36147115</v>
      </c>
      <c r="AD52" s="65">
        <v>2809319</v>
      </c>
      <c r="AE52" s="65">
        <v>7397267</v>
      </c>
      <c r="AF52" s="66">
        <v>48177</v>
      </c>
      <c r="AG52" s="66">
        <v>4403888</v>
      </c>
      <c r="AH52" s="66">
        <v>13781651</v>
      </c>
      <c r="AI52" s="65">
        <v>7436614</v>
      </c>
      <c r="AJ52" s="65">
        <v>2417648</v>
      </c>
      <c r="AK52" s="65">
        <v>5018636</v>
      </c>
      <c r="AL52" s="65">
        <v>330</v>
      </c>
      <c r="AM52" s="65">
        <v>6345037</v>
      </c>
      <c r="AN52" s="65">
        <v>15193</v>
      </c>
      <c r="AO52" s="66">
        <v>3997</v>
      </c>
      <c r="AP52" s="69">
        <v>60358</v>
      </c>
      <c r="AQ52" s="67">
        <v>238789</v>
      </c>
      <c r="AR52" s="65">
        <v>1638147</v>
      </c>
      <c r="AS52" s="69">
        <v>76774</v>
      </c>
      <c r="AT52" s="69">
        <v>50631</v>
      </c>
      <c r="AU52" s="65">
        <v>866687</v>
      </c>
      <c r="AV52" s="69">
        <v>136850</v>
      </c>
      <c r="AW52" s="65">
        <v>1821823</v>
      </c>
      <c r="AX52" s="66">
        <v>166916</v>
      </c>
      <c r="AY52" s="65">
        <v>1268872</v>
      </c>
      <c r="AZ52" s="66">
        <v>0</v>
      </c>
      <c r="BA52" s="65">
        <v>1684620</v>
      </c>
      <c r="BB52" s="65">
        <v>32871</v>
      </c>
      <c r="BC52" s="65">
        <v>19108</v>
      </c>
      <c r="BD52" s="65">
        <v>0</v>
      </c>
      <c r="BE52" s="69">
        <v>545</v>
      </c>
      <c r="BF52" s="65">
        <v>1598179</v>
      </c>
      <c r="BG52" s="67">
        <v>33917</v>
      </c>
      <c r="BH52" s="65">
        <v>26900268</v>
      </c>
      <c r="BI52" s="66">
        <v>9788607</v>
      </c>
      <c r="BJ52" s="65">
        <v>4184595</v>
      </c>
      <c r="BK52" s="65">
        <v>4887696</v>
      </c>
      <c r="BL52" s="65">
        <v>6654809</v>
      </c>
      <c r="BM52" s="65">
        <v>210371</v>
      </c>
      <c r="BN52" s="66">
        <v>1174190</v>
      </c>
      <c r="BO52" s="66">
        <v>961689</v>
      </c>
      <c r="BP52" s="65">
        <v>663522</v>
      </c>
      <c r="BQ52" s="65">
        <v>176181</v>
      </c>
      <c r="BR52" s="66">
        <v>102534</v>
      </c>
      <c r="BS52" s="66">
        <v>19452</v>
      </c>
      <c r="BT52" s="65">
        <v>3751682</v>
      </c>
      <c r="BU52" s="65">
        <v>1042324</v>
      </c>
      <c r="BV52" s="69">
        <v>337652</v>
      </c>
      <c r="BW52" s="66">
        <v>2371706</v>
      </c>
      <c r="BX52" s="65">
        <v>3768033</v>
      </c>
      <c r="BY52" s="65">
        <v>411248</v>
      </c>
      <c r="BZ52" s="66">
        <v>549016</v>
      </c>
      <c r="CA52" s="65">
        <v>537326</v>
      </c>
      <c r="CB52" s="67">
        <v>11690</v>
      </c>
      <c r="CC52" s="66">
        <v>95638</v>
      </c>
      <c r="CD52" s="65">
        <v>116711</v>
      </c>
      <c r="CE52" s="69">
        <v>43036</v>
      </c>
      <c r="CF52" s="65">
        <v>73675</v>
      </c>
      <c r="CG52" s="65">
        <v>0</v>
      </c>
      <c r="CH52" s="65">
        <v>310921</v>
      </c>
      <c r="CI52" s="66">
        <v>140263</v>
      </c>
      <c r="CJ52" s="66">
        <v>170658</v>
      </c>
      <c r="CK52" s="65">
        <v>5980116</v>
      </c>
      <c r="CL52" s="65">
        <v>1647035</v>
      </c>
      <c r="CM52" s="65">
        <v>4333081</v>
      </c>
      <c r="CN52" s="65">
        <v>312258</v>
      </c>
      <c r="CO52" s="69">
        <v>178151</v>
      </c>
      <c r="CP52" s="65">
        <v>131577</v>
      </c>
      <c r="CQ52" s="69">
        <v>2530</v>
      </c>
      <c r="CR52" s="66">
        <v>0</v>
      </c>
    </row>
    <row r="53" spans="1:96" s="68" customFormat="1" ht="10.199999999999999" x14ac:dyDescent="0.2">
      <c r="A53" s="64" t="s">
        <v>309</v>
      </c>
      <c r="B53" s="65">
        <v>23413217</v>
      </c>
      <c r="C53" s="65">
        <v>27551</v>
      </c>
      <c r="D53" s="65">
        <v>9354</v>
      </c>
      <c r="E53" s="65">
        <v>0</v>
      </c>
      <c r="F53" s="69">
        <v>18197</v>
      </c>
      <c r="G53" s="65">
        <v>55089</v>
      </c>
      <c r="H53" s="66">
        <v>215502</v>
      </c>
      <c r="I53" s="65">
        <v>24282</v>
      </c>
      <c r="J53" s="66">
        <v>13527</v>
      </c>
      <c r="K53" s="65">
        <v>6509</v>
      </c>
      <c r="L53" s="65">
        <v>4247</v>
      </c>
      <c r="M53" s="65">
        <v>613461</v>
      </c>
      <c r="N53" s="65">
        <v>29631</v>
      </c>
      <c r="O53" s="66">
        <v>906</v>
      </c>
      <c r="P53" s="65">
        <v>95</v>
      </c>
      <c r="Q53" s="67">
        <v>3964</v>
      </c>
      <c r="R53" s="67">
        <v>124093</v>
      </c>
      <c r="S53" s="65">
        <v>64</v>
      </c>
      <c r="T53" s="69">
        <v>22</v>
      </c>
      <c r="U53" s="69">
        <v>590</v>
      </c>
      <c r="V53" s="69">
        <v>96461</v>
      </c>
      <c r="W53" s="65">
        <v>228617</v>
      </c>
      <c r="X53" s="66">
        <v>12616</v>
      </c>
      <c r="Y53" s="67">
        <v>3570</v>
      </c>
      <c r="Z53" s="67">
        <v>3327</v>
      </c>
      <c r="AA53" s="65">
        <v>17012</v>
      </c>
      <c r="AB53" s="65">
        <v>5308</v>
      </c>
      <c r="AC53" s="65">
        <v>28675</v>
      </c>
      <c r="AD53" s="69">
        <v>604</v>
      </c>
      <c r="AE53" s="69">
        <v>29662</v>
      </c>
      <c r="AF53" s="67">
        <v>2994</v>
      </c>
      <c r="AG53" s="67">
        <v>25248</v>
      </c>
      <c r="AH53" s="66">
        <v>341495</v>
      </c>
      <c r="AI53" s="65">
        <v>265049</v>
      </c>
      <c r="AJ53" s="65">
        <v>39363</v>
      </c>
      <c r="AK53" s="65">
        <v>225686</v>
      </c>
      <c r="AL53" s="65">
        <v>0</v>
      </c>
      <c r="AM53" s="65">
        <v>76446</v>
      </c>
      <c r="AN53" s="65">
        <v>16911</v>
      </c>
      <c r="AO53" s="66">
        <v>235</v>
      </c>
      <c r="AP53" s="65">
        <v>7</v>
      </c>
      <c r="AQ53" s="66">
        <v>1480</v>
      </c>
      <c r="AR53" s="69">
        <v>23985</v>
      </c>
      <c r="AS53" s="69">
        <v>759</v>
      </c>
      <c r="AT53" s="69">
        <v>245</v>
      </c>
      <c r="AU53" s="69">
        <v>520</v>
      </c>
      <c r="AV53" s="69">
        <v>21</v>
      </c>
      <c r="AW53" s="69">
        <v>3039</v>
      </c>
      <c r="AX53" s="67">
        <v>2207</v>
      </c>
      <c r="AY53" s="69">
        <v>27036</v>
      </c>
      <c r="AZ53" s="66">
        <v>0</v>
      </c>
      <c r="BA53" s="65">
        <v>7160</v>
      </c>
      <c r="BB53" s="65">
        <v>1785</v>
      </c>
      <c r="BC53" s="69">
        <v>126</v>
      </c>
      <c r="BD53" s="69">
        <v>32</v>
      </c>
      <c r="BE53" s="65">
        <v>0</v>
      </c>
      <c r="BF53" s="69">
        <v>5210</v>
      </c>
      <c r="BG53" s="66">
        <v>7</v>
      </c>
      <c r="BH53" s="65">
        <v>96136</v>
      </c>
      <c r="BI53" s="66">
        <v>61978</v>
      </c>
      <c r="BJ53" s="65">
        <v>2142</v>
      </c>
      <c r="BK53" s="69">
        <v>10</v>
      </c>
      <c r="BL53" s="65">
        <v>15336</v>
      </c>
      <c r="BM53" s="65">
        <v>6585</v>
      </c>
      <c r="BN53" s="67">
        <v>10084</v>
      </c>
      <c r="BO53" s="66">
        <v>19464086</v>
      </c>
      <c r="BP53" s="65">
        <v>166628</v>
      </c>
      <c r="BQ53" s="65">
        <v>1010812</v>
      </c>
      <c r="BR53" s="66">
        <v>1489751</v>
      </c>
      <c r="BS53" s="66">
        <v>16796896</v>
      </c>
      <c r="BT53" s="65">
        <v>164819</v>
      </c>
      <c r="BU53" s="65">
        <v>157088</v>
      </c>
      <c r="BV53" s="65">
        <v>7489</v>
      </c>
      <c r="BW53" s="66">
        <v>242</v>
      </c>
      <c r="BX53" s="65">
        <v>183391</v>
      </c>
      <c r="BY53" s="65">
        <v>2105349</v>
      </c>
      <c r="BZ53" s="66">
        <v>72325</v>
      </c>
      <c r="CA53" s="65">
        <v>72197</v>
      </c>
      <c r="CB53" s="65">
        <v>128</v>
      </c>
      <c r="CC53" s="66">
        <v>262</v>
      </c>
      <c r="CD53" s="65">
        <v>16039</v>
      </c>
      <c r="CE53" s="65">
        <v>1935</v>
      </c>
      <c r="CF53" s="69">
        <v>7212</v>
      </c>
      <c r="CG53" s="69">
        <v>6892</v>
      </c>
      <c r="CH53" s="65">
        <v>17918</v>
      </c>
      <c r="CI53" s="67">
        <v>8876</v>
      </c>
      <c r="CJ53" s="67">
        <v>9043</v>
      </c>
      <c r="CK53" s="69">
        <v>2987</v>
      </c>
      <c r="CL53" s="69">
        <v>374</v>
      </c>
      <c r="CM53" s="65">
        <v>2613</v>
      </c>
      <c r="CN53" s="65">
        <v>5366</v>
      </c>
      <c r="CO53" s="69">
        <v>469</v>
      </c>
      <c r="CP53" s="69">
        <v>1877</v>
      </c>
      <c r="CQ53" s="69">
        <v>3020</v>
      </c>
      <c r="CR53" s="66">
        <v>0</v>
      </c>
    </row>
    <row r="54" spans="1:96" s="68" customFormat="1" ht="10.199999999999999" x14ac:dyDescent="0.2">
      <c r="A54" s="64" t="s">
        <v>310</v>
      </c>
      <c r="B54" s="65">
        <v>60691991</v>
      </c>
      <c r="C54" s="65">
        <v>678434</v>
      </c>
      <c r="D54" s="65">
        <v>521490</v>
      </c>
      <c r="E54" s="65">
        <v>128052</v>
      </c>
      <c r="F54" s="65">
        <v>28892</v>
      </c>
      <c r="G54" s="65">
        <v>2406981</v>
      </c>
      <c r="H54" s="66">
        <v>2809087</v>
      </c>
      <c r="I54" s="65">
        <v>718363</v>
      </c>
      <c r="J54" s="66">
        <v>338271</v>
      </c>
      <c r="K54" s="65">
        <v>292372</v>
      </c>
      <c r="L54" s="65">
        <v>87719</v>
      </c>
      <c r="M54" s="65">
        <v>21914532</v>
      </c>
      <c r="N54" s="65">
        <v>525950</v>
      </c>
      <c r="O54" s="66">
        <v>1142739</v>
      </c>
      <c r="P54" s="65">
        <v>36919</v>
      </c>
      <c r="Q54" s="66">
        <v>58497</v>
      </c>
      <c r="R54" s="66">
        <v>164</v>
      </c>
      <c r="S54" s="65">
        <v>691362</v>
      </c>
      <c r="T54" s="65">
        <v>147198</v>
      </c>
      <c r="U54" s="65">
        <v>160511</v>
      </c>
      <c r="V54" s="65">
        <v>4843936</v>
      </c>
      <c r="W54" s="65">
        <v>9311008</v>
      </c>
      <c r="X54" s="66">
        <v>263715</v>
      </c>
      <c r="Y54" s="66">
        <v>123069</v>
      </c>
      <c r="Z54" s="66">
        <v>244802</v>
      </c>
      <c r="AA54" s="65">
        <v>215287</v>
      </c>
      <c r="AB54" s="65">
        <v>657771</v>
      </c>
      <c r="AC54" s="65">
        <v>1253507</v>
      </c>
      <c r="AD54" s="65">
        <v>68279</v>
      </c>
      <c r="AE54" s="65">
        <v>1772971</v>
      </c>
      <c r="AF54" s="66">
        <v>127711</v>
      </c>
      <c r="AG54" s="66">
        <v>269134</v>
      </c>
      <c r="AH54" s="66">
        <v>2621424</v>
      </c>
      <c r="AI54" s="65">
        <v>2112703</v>
      </c>
      <c r="AJ54" s="65">
        <v>907805</v>
      </c>
      <c r="AK54" s="65">
        <v>1204896</v>
      </c>
      <c r="AL54" s="65">
        <v>1</v>
      </c>
      <c r="AM54" s="65">
        <v>508721</v>
      </c>
      <c r="AN54" s="65">
        <v>66877</v>
      </c>
      <c r="AO54" s="66">
        <v>7749</v>
      </c>
      <c r="AP54" s="65">
        <v>38050</v>
      </c>
      <c r="AQ54" s="66">
        <v>22894</v>
      </c>
      <c r="AR54" s="65">
        <v>102774</v>
      </c>
      <c r="AS54" s="65">
        <v>82874</v>
      </c>
      <c r="AT54" s="65">
        <v>21287</v>
      </c>
      <c r="AU54" s="65">
        <v>20021</v>
      </c>
      <c r="AV54" s="69">
        <v>5878</v>
      </c>
      <c r="AW54" s="65">
        <v>32034</v>
      </c>
      <c r="AX54" s="66">
        <v>20816</v>
      </c>
      <c r="AY54" s="65">
        <v>87468</v>
      </c>
      <c r="AZ54" s="66">
        <v>0</v>
      </c>
      <c r="BA54" s="65">
        <v>783878</v>
      </c>
      <c r="BB54" s="65">
        <v>321251</v>
      </c>
      <c r="BC54" s="65">
        <v>273935</v>
      </c>
      <c r="BD54" s="69">
        <v>36315</v>
      </c>
      <c r="BE54" s="65">
        <v>15125</v>
      </c>
      <c r="BF54" s="65">
        <v>109789</v>
      </c>
      <c r="BG54" s="66">
        <v>27463</v>
      </c>
      <c r="BH54" s="65">
        <v>3819351</v>
      </c>
      <c r="BI54" s="66">
        <v>1380077</v>
      </c>
      <c r="BJ54" s="65">
        <v>1101426</v>
      </c>
      <c r="BK54" s="65">
        <v>582917</v>
      </c>
      <c r="BL54" s="65">
        <v>559823</v>
      </c>
      <c r="BM54" s="65">
        <v>54563</v>
      </c>
      <c r="BN54" s="67">
        <v>140545</v>
      </c>
      <c r="BO54" s="66">
        <v>12399707</v>
      </c>
      <c r="BP54" s="65">
        <v>1791945</v>
      </c>
      <c r="BQ54" s="65">
        <v>1537470</v>
      </c>
      <c r="BR54" s="66">
        <v>8520556</v>
      </c>
      <c r="BS54" s="66">
        <v>549736</v>
      </c>
      <c r="BT54" s="65">
        <v>4753937</v>
      </c>
      <c r="BU54" s="65">
        <v>4616375</v>
      </c>
      <c r="BV54" s="65">
        <v>89299</v>
      </c>
      <c r="BW54" s="67">
        <v>48263</v>
      </c>
      <c r="BX54" s="65">
        <v>1409997</v>
      </c>
      <c r="BY54" s="65">
        <v>4245938</v>
      </c>
      <c r="BZ54" s="66">
        <v>411589</v>
      </c>
      <c r="CA54" s="65">
        <v>173969</v>
      </c>
      <c r="CB54" s="66">
        <v>237619</v>
      </c>
      <c r="CC54" s="66">
        <v>45610</v>
      </c>
      <c r="CD54" s="65">
        <v>579552</v>
      </c>
      <c r="CE54" s="65">
        <v>272733</v>
      </c>
      <c r="CF54" s="65">
        <v>145223</v>
      </c>
      <c r="CG54" s="65">
        <v>161596</v>
      </c>
      <c r="CH54" s="65">
        <v>138488</v>
      </c>
      <c r="CI54" s="66">
        <v>36298</v>
      </c>
      <c r="CJ54" s="66">
        <v>102190</v>
      </c>
      <c r="CK54" s="65">
        <v>804465</v>
      </c>
      <c r="CL54" s="65">
        <v>298758</v>
      </c>
      <c r="CM54" s="65">
        <v>505708</v>
      </c>
      <c r="CN54" s="65">
        <v>145970</v>
      </c>
      <c r="CO54" s="65">
        <v>72300</v>
      </c>
      <c r="CP54" s="65">
        <v>67049</v>
      </c>
      <c r="CQ54" s="65">
        <v>6621</v>
      </c>
      <c r="CR54" s="67">
        <v>4689</v>
      </c>
    </row>
    <row r="55" spans="1:96" s="68" customFormat="1" ht="10.199999999999999" x14ac:dyDescent="0.2">
      <c r="A55" s="64" t="s">
        <v>231</v>
      </c>
      <c r="B55" s="65">
        <v>69991196</v>
      </c>
      <c r="C55" s="65">
        <v>815655</v>
      </c>
      <c r="D55" s="65">
        <v>641988</v>
      </c>
      <c r="E55" s="65">
        <v>72601</v>
      </c>
      <c r="F55" s="65">
        <v>101066</v>
      </c>
      <c r="G55" s="65">
        <v>3009937</v>
      </c>
      <c r="H55" s="66">
        <v>3162515</v>
      </c>
      <c r="I55" s="65">
        <v>1981210</v>
      </c>
      <c r="J55" s="66">
        <v>272591</v>
      </c>
      <c r="K55" s="65">
        <v>899808</v>
      </c>
      <c r="L55" s="65">
        <v>808810</v>
      </c>
      <c r="M55" s="65">
        <v>17604488</v>
      </c>
      <c r="N55" s="65">
        <v>257747</v>
      </c>
      <c r="O55" s="66">
        <v>2380193</v>
      </c>
      <c r="P55" s="65">
        <v>27159</v>
      </c>
      <c r="Q55" s="66">
        <v>21354</v>
      </c>
      <c r="R55" s="67">
        <v>20768</v>
      </c>
      <c r="S55" s="65">
        <v>207291</v>
      </c>
      <c r="T55" s="65">
        <v>185425</v>
      </c>
      <c r="U55" s="65">
        <v>180051</v>
      </c>
      <c r="V55" s="65">
        <v>2254320</v>
      </c>
      <c r="W55" s="65">
        <v>927883</v>
      </c>
      <c r="X55" s="66">
        <v>251165</v>
      </c>
      <c r="Y55" s="66">
        <v>267162</v>
      </c>
      <c r="Z55" s="66">
        <v>259012</v>
      </c>
      <c r="AA55" s="65">
        <v>836717</v>
      </c>
      <c r="AB55" s="65">
        <v>466933</v>
      </c>
      <c r="AC55" s="65">
        <v>726693</v>
      </c>
      <c r="AD55" s="65">
        <v>1815515</v>
      </c>
      <c r="AE55" s="65">
        <v>6318516</v>
      </c>
      <c r="AF55" s="66">
        <v>24233</v>
      </c>
      <c r="AG55" s="66">
        <v>176349</v>
      </c>
      <c r="AH55" s="66">
        <v>5723492</v>
      </c>
      <c r="AI55" s="65">
        <v>4040365</v>
      </c>
      <c r="AJ55" s="65">
        <v>3213245</v>
      </c>
      <c r="AK55" s="65">
        <v>827079</v>
      </c>
      <c r="AL55" s="65">
        <v>41</v>
      </c>
      <c r="AM55" s="65">
        <v>1683127</v>
      </c>
      <c r="AN55" s="65">
        <v>626766</v>
      </c>
      <c r="AO55" s="66">
        <v>71083</v>
      </c>
      <c r="AP55" s="65">
        <v>16579</v>
      </c>
      <c r="AQ55" s="66">
        <v>101324</v>
      </c>
      <c r="AR55" s="65">
        <v>147924</v>
      </c>
      <c r="AS55" s="65">
        <v>99679</v>
      </c>
      <c r="AT55" s="65">
        <v>292762</v>
      </c>
      <c r="AU55" s="65">
        <v>142949</v>
      </c>
      <c r="AV55" s="65">
        <v>11101</v>
      </c>
      <c r="AW55" s="65">
        <v>16380</v>
      </c>
      <c r="AX55" s="66">
        <v>46452</v>
      </c>
      <c r="AY55" s="65">
        <v>110128</v>
      </c>
      <c r="AZ55" s="66">
        <v>0</v>
      </c>
      <c r="BA55" s="65">
        <v>3112387</v>
      </c>
      <c r="BB55" s="65">
        <v>1514109</v>
      </c>
      <c r="BC55" s="65">
        <v>1152864</v>
      </c>
      <c r="BD55" s="65">
        <v>103857</v>
      </c>
      <c r="BE55" s="65">
        <v>178482</v>
      </c>
      <c r="BF55" s="65">
        <v>114459</v>
      </c>
      <c r="BG55" s="66">
        <v>48614</v>
      </c>
      <c r="BH55" s="65">
        <v>1018338</v>
      </c>
      <c r="BI55" s="66">
        <v>226083</v>
      </c>
      <c r="BJ55" s="65">
        <v>42232</v>
      </c>
      <c r="BK55" s="65">
        <v>171370</v>
      </c>
      <c r="BL55" s="65">
        <v>529271</v>
      </c>
      <c r="BM55" s="65">
        <v>3169</v>
      </c>
      <c r="BN55" s="66">
        <v>46214</v>
      </c>
      <c r="BO55" s="66">
        <v>8599008</v>
      </c>
      <c r="BP55" s="65">
        <v>5981267</v>
      </c>
      <c r="BQ55" s="65">
        <v>1559454</v>
      </c>
      <c r="BR55" s="66">
        <v>621989</v>
      </c>
      <c r="BS55" s="66">
        <v>436298</v>
      </c>
      <c r="BT55" s="65">
        <v>6382460</v>
      </c>
      <c r="BU55" s="65">
        <v>1831107</v>
      </c>
      <c r="BV55" s="65">
        <v>4523154</v>
      </c>
      <c r="BW55" s="66">
        <v>28200</v>
      </c>
      <c r="BX55" s="65">
        <v>924252</v>
      </c>
      <c r="BY55" s="65">
        <v>14890045</v>
      </c>
      <c r="BZ55" s="66">
        <v>745174</v>
      </c>
      <c r="CA55" s="65">
        <v>486479</v>
      </c>
      <c r="CB55" s="66">
        <v>258695</v>
      </c>
      <c r="CC55" s="66">
        <v>10329</v>
      </c>
      <c r="CD55" s="65">
        <v>642477</v>
      </c>
      <c r="CE55" s="65">
        <v>226439</v>
      </c>
      <c r="CF55" s="65">
        <v>294710</v>
      </c>
      <c r="CG55" s="65">
        <v>121328</v>
      </c>
      <c r="CH55" s="65">
        <v>74475</v>
      </c>
      <c r="CI55" s="66">
        <v>41406</v>
      </c>
      <c r="CJ55" s="66">
        <v>33069</v>
      </c>
      <c r="CK55" s="65">
        <v>1081760</v>
      </c>
      <c r="CL55" s="65">
        <v>746181</v>
      </c>
      <c r="CM55" s="65">
        <v>335579</v>
      </c>
      <c r="CN55" s="65">
        <v>213194</v>
      </c>
      <c r="CO55" s="65">
        <v>129352</v>
      </c>
      <c r="CP55" s="65">
        <v>79555</v>
      </c>
      <c r="CQ55" s="65">
        <v>4288</v>
      </c>
      <c r="CR55" s="66">
        <v>0</v>
      </c>
    </row>
    <row r="56" spans="1:96" s="68" customFormat="1" ht="10.199999999999999" x14ac:dyDescent="0.2">
      <c r="A56" s="64" t="s">
        <v>232</v>
      </c>
      <c r="B56" s="65">
        <v>23565823</v>
      </c>
      <c r="C56" s="65">
        <v>41099</v>
      </c>
      <c r="D56" s="65">
        <v>34050</v>
      </c>
      <c r="E56" s="69">
        <v>4006</v>
      </c>
      <c r="F56" s="65">
        <v>3043</v>
      </c>
      <c r="G56" s="65">
        <v>293281</v>
      </c>
      <c r="H56" s="66">
        <v>104393</v>
      </c>
      <c r="I56" s="65">
        <v>44791</v>
      </c>
      <c r="J56" s="66">
        <v>19853</v>
      </c>
      <c r="K56" s="65">
        <v>13028</v>
      </c>
      <c r="L56" s="65">
        <v>11910</v>
      </c>
      <c r="M56" s="65">
        <v>2758830</v>
      </c>
      <c r="N56" s="65">
        <v>128809</v>
      </c>
      <c r="O56" s="66">
        <v>47104</v>
      </c>
      <c r="P56" s="65">
        <v>2081</v>
      </c>
      <c r="Q56" s="66">
        <v>3514</v>
      </c>
      <c r="R56" s="66">
        <v>1574</v>
      </c>
      <c r="S56" s="65">
        <v>25723</v>
      </c>
      <c r="T56" s="65">
        <v>267792</v>
      </c>
      <c r="U56" s="65">
        <v>4651</v>
      </c>
      <c r="V56" s="65">
        <v>457426</v>
      </c>
      <c r="W56" s="65">
        <v>1047507</v>
      </c>
      <c r="X56" s="66">
        <v>19619</v>
      </c>
      <c r="Y56" s="66">
        <v>261594</v>
      </c>
      <c r="Z56" s="66">
        <v>32582</v>
      </c>
      <c r="AA56" s="65">
        <v>18309</v>
      </c>
      <c r="AB56" s="65">
        <v>26911</v>
      </c>
      <c r="AC56" s="65">
        <v>103760</v>
      </c>
      <c r="AD56" s="65">
        <v>69984</v>
      </c>
      <c r="AE56" s="65">
        <v>185067</v>
      </c>
      <c r="AF56" s="66">
        <v>7463</v>
      </c>
      <c r="AG56" s="66">
        <v>47361</v>
      </c>
      <c r="AH56" s="66">
        <v>4146499</v>
      </c>
      <c r="AI56" s="65">
        <v>3990325</v>
      </c>
      <c r="AJ56" s="65">
        <v>195013</v>
      </c>
      <c r="AK56" s="65">
        <v>3790209</v>
      </c>
      <c r="AL56" s="69">
        <v>5103</v>
      </c>
      <c r="AM56" s="65">
        <v>156174</v>
      </c>
      <c r="AN56" s="65">
        <v>6734</v>
      </c>
      <c r="AO56" s="66">
        <v>1787</v>
      </c>
      <c r="AP56" s="65">
        <v>1572</v>
      </c>
      <c r="AQ56" s="66">
        <v>45778</v>
      </c>
      <c r="AR56" s="65">
        <v>21164</v>
      </c>
      <c r="AS56" s="65">
        <v>27312</v>
      </c>
      <c r="AT56" s="65">
        <v>5067</v>
      </c>
      <c r="AU56" s="65">
        <v>13849</v>
      </c>
      <c r="AV56" s="69">
        <v>632</v>
      </c>
      <c r="AW56" s="65">
        <v>9218</v>
      </c>
      <c r="AX56" s="66">
        <v>4128</v>
      </c>
      <c r="AY56" s="65">
        <v>18935</v>
      </c>
      <c r="AZ56" s="66">
        <v>0</v>
      </c>
      <c r="BA56" s="65">
        <v>95568</v>
      </c>
      <c r="BB56" s="65">
        <v>31191</v>
      </c>
      <c r="BC56" s="65">
        <v>2595</v>
      </c>
      <c r="BD56" s="69">
        <v>773</v>
      </c>
      <c r="BE56" s="69">
        <v>46259</v>
      </c>
      <c r="BF56" s="65">
        <v>13664</v>
      </c>
      <c r="BG56" s="67">
        <v>1087</v>
      </c>
      <c r="BH56" s="65">
        <v>1689084</v>
      </c>
      <c r="BI56" s="66">
        <v>404981</v>
      </c>
      <c r="BJ56" s="65">
        <v>20225</v>
      </c>
      <c r="BK56" s="65">
        <v>7236</v>
      </c>
      <c r="BL56" s="65">
        <v>1253700</v>
      </c>
      <c r="BM56" s="69">
        <v>2488</v>
      </c>
      <c r="BN56" s="67">
        <v>454</v>
      </c>
      <c r="BO56" s="66">
        <v>11298739</v>
      </c>
      <c r="BP56" s="65">
        <v>260409</v>
      </c>
      <c r="BQ56" s="65">
        <v>659905</v>
      </c>
      <c r="BR56" s="66">
        <v>10322696</v>
      </c>
      <c r="BS56" s="66">
        <v>55729</v>
      </c>
      <c r="BT56" s="65">
        <v>249825</v>
      </c>
      <c r="BU56" s="65">
        <v>240952</v>
      </c>
      <c r="BV56" s="65">
        <v>8844</v>
      </c>
      <c r="BW56" s="66">
        <v>29</v>
      </c>
      <c r="BX56" s="65">
        <v>158404</v>
      </c>
      <c r="BY56" s="65">
        <v>2512044</v>
      </c>
      <c r="BZ56" s="66">
        <v>60663</v>
      </c>
      <c r="CA56" s="65">
        <v>59253</v>
      </c>
      <c r="CB56" s="66">
        <v>1410</v>
      </c>
      <c r="CC56" s="66">
        <v>2877</v>
      </c>
      <c r="CD56" s="65">
        <v>30600</v>
      </c>
      <c r="CE56" s="65">
        <v>24066</v>
      </c>
      <c r="CF56" s="65">
        <v>1596</v>
      </c>
      <c r="CG56" s="65">
        <v>4938</v>
      </c>
      <c r="CH56" s="65">
        <v>18018</v>
      </c>
      <c r="CI56" s="66">
        <v>11433</v>
      </c>
      <c r="CJ56" s="66">
        <v>6585</v>
      </c>
      <c r="CK56" s="65">
        <v>14360</v>
      </c>
      <c r="CL56" s="65">
        <v>5081</v>
      </c>
      <c r="CM56" s="65">
        <v>9278</v>
      </c>
      <c r="CN56" s="65">
        <v>46748</v>
      </c>
      <c r="CO56" s="65">
        <v>7616</v>
      </c>
      <c r="CP56" s="65">
        <v>34724</v>
      </c>
      <c r="CQ56" s="65">
        <v>4408</v>
      </c>
      <c r="CR56" s="66">
        <v>0</v>
      </c>
    </row>
    <row r="57" spans="1:96" s="68" customFormat="1" ht="10.199999999999999" x14ac:dyDescent="0.2">
      <c r="A57" s="64" t="s">
        <v>233</v>
      </c>
      <c r="B57" s="65">
        <v>137247458</v>
      </c>
      <c r="C57" s="65">
        <v>8794</v>
      </c>
      <c r="D57" s="65">
        <v>8543</v>
      </c>
      <c r="E57" s="69">
        <v>250</v>
      </c>
      <c r="F57" s="65">
        <v>0</v>
      </c>
      <c r="G57" s="65">
        <v>4603229</v>
      </c>
      <c r="H57" s="66">
        <v>363914</v>
      </c>
      <c r="I57" s="65">
        <v>36112</v>
      </c>
      <c r="J57" s="67">
        <v>554</v>
      </c>
      <c r="K57" s="65">
        <v>29488</v>
      </c>
      <c r="L57" s="65">
        <v>6070</v>
      </c>
      <c r="M57" s="65">
        <v>108338404</v>
      </c>
      <c r="N57" s="65">
        <v>1165784</v>
      </c>
      <c r="O57" s="66">
        <v>1993297</v>
      </c>
      <c r="P57" s="65">
        <v>53086</v>
      </c>
      <c r="Q57" s="67">
        <v>64611</v>
      </c>
      <c r="R57" s="66">
        <v>55215</v>
      </c>
      <c r="S57" s="69">
        <v>1589</v>
      </c>
      <c r="T57" s="65">
        <v>1267537</v>
      </c>
      <c r="U57" s="69">
        <v>54632</v>
      </c>
      <c r="V57" s="65">
        <v>37572427</v>
      </c>
      <c r="W57" s="65">
        <v>50014298</v>
      </c>
      <c r="X57" s="66">
        <v>565503</v>
      </c>
      <c r="Y57" s="66">
        <v>204231</v>
      </c>
      <c r="Z57" s="66">
        <v>268107</v>
      </c>
      <c r="AA57" s="65">
        <v>807124</v>
      </c>
      <c r="AB57" s="65">
        <v>1548570</v>
      </c>
      <c r="AC57" s="65">
        <v>4378498</v>
      </c>
      <c r="AD57" s="65">
        <v>2701229</v>
      </c>
      <c r="AE57" s="65">
        <v>3564875</v>
      </c>
      <c r="AF57" s="67">
        <v>22915</v>
      </c>
      <c r="AG57" s="66">
        <v>2034876</v>
      </c>
      <c r="AH57" s="66">
        <v>5771310</v>
      </c>
      <c r="AI57" s="65">
        <v>2608914</v>
      </c>
      <c r="AJ57" s="65">
        <v>704875</v>
      </c>
      <c r="AK57" s="65">
        <v>1904038</v>
      </c>
      <c r="AL57" s="65">
        <v>0</v>
      </c>
      <c r="AM57" s="65">
        <v>3162397</v>
      </c>
      <c r="AN57" s="69">
        <v>740</v>
      </c>
      <c r="AO57" s="66">
        <v>13433</v>
      </c>
      <c r="AP57" s="65">
        <v>19</v>
      </c>
      <c r="AQ57" s="67">
        <v>1047694</v>
      </c>
      <c r="AR57" s="69">
        <v>9537</v>
      </c>
      <c r="AS57" s="69">
        <v>5075</v>
      </c>
      <c r="AT57" s="65">
        <v>1371</v>
      </c>
      <c r="AU57" s="65">
        <v>343924</v>
      </c>
      <c r="AV57" s="65">
        <v>15354</v>
      </c>
      <c r="AW57" s="65">
        <v>343303</v>
      </c>
      <c r="AX57" s="67">
        <v>407650</v>
      </c>
      <c r="AY57" s="65">
        <v>974297</v>
      </c>
      <c r="AZ57" s="66">
        <v>0</v>
      </c>
      <c r="BA57" s="65">
        <v>662806</v>
      </c>
      <c r="BB57" s="65">
        <v>109068</v>
      </c>
      <c r="BC57" s="69">
        <v>16449</v>
      </c>
      <c r="BD57" s="65">
        <v>421</v>
      </c>
      <c r="BE57" s="65">
        <v>78826</v>
      </c>
      <c r="BF57" s="65">
        <v>448590</v>
      </c>
      <c r="BG57" s="67">
        <v>9452</v>
      </c>
      <c r="BH57" s="65">
        <v>2930129</v>
      </c>
      <c r="BI57" s="66">
        <v>1415086</v>
      </c>
      <c r="BJ57" s="65">
        <v>249664</v>
      </c>
      <c r="BK57" s="69">
        <v>101520</v>
      </c>
      <c r="BL57" s="65">
        <v>939794</v>
      </c>
      <c r="BM57" s="65">
        <v>20193</v>
      </c>
      <c r="BN57" s="66">
        <v>203872</v>
      </c>
      <c r="BO57" s="66">
        <v>4521317</v>
      </c>
      <c r="BP57" s="65">
        <v>819809</v>
      </c>
      <c r="BQ57" s="65">
        <v>1345879</v>
      </c>
      <c r="BR57" s="66">
        <v>2352406</v>
      </c>
      <c r="BS57" s="67">
        <v>3223</v>
      </c>
      <c r="BT57" s="65">
        <v>18346</v>
      </c>
      <c r="BU57" s="65">
        <v>11156</v>
      </c>
      <c r="BV57" s="69">
        <v>2179</v>
      </c>
      <c r="BW57" s="66">
        <v>5010</v>
      </c>
      <c r="BX57" s="65">
        <v>1550434</v>
      </c>
      <c r="BY57" s="65">
        <v>5347398</v>
      </c>
      <c r="BZ57" s="66">
        <v>435026</v>
      </c>
      <c r="CA57" s="65">
        <v>282961</v>
      </c>
      <c r="CB57" s="66">
        <v>152065</v>
      </c>
      <c r="CC57" s="67">
        <v>109256</v>
      </c>
      <c r="CD57" s="65">
        <v>67814</v>
      </c>
      <c r="CE57" s="69">
        <v>4984</v>
      </c>
      <c r="CF57" s="65">
        <v>62818</v>
      </c>
      <c r="CG57" s="65">
        <v>11</v>
      </c>
      <c r="CH57" s="65">
        <v>225265</v>
      </c>
      <c r="CI57" s="67">
        <v>143148</v>
      </c>
      <c r="CJ57" s="66">
        <v>82117</v>
      </c>
      <c r="CK57" s="65">
        <v>2217987</v>
      </c>
      <c r="CL57" s="65">
        <v>665954</v>
      </c>
      <c r="CM57" s="65">
        <v>1552033</v>
      </c>
      <c r="CN57" s="65">
        <v>39917</v>
      </c>
      <c r="CO57" s="69">
        <v>7915</v>
      </c>
      <c r="CP57" s="69">
        <v>31791</v>
      </c>
      <c r="CQ57" s="65">
        <v>212</v>
      </c>
      <c r="CR57" s="66">
        <v>0</v>
      </c>
    </row>
    <row r="58" spans="1:96" s="63" customFormat="1" ht="10.199999999999999" x14ac:dyDescent="0.2">
      <c r="A58" s="64" t="s">
        <v>234</v>
      </c>
      <c r="B58" s="65">
        <v>1036660040</v>
      </c>
      <c r="C58" s="65">
        <v>13514812</v>
      </c>
      <c r="D58" s="65">
        <v>12292419</v>
      </c>
      <c r="E58" s="65">
        <v>77105</v>
      </c>
      <c r="F58" s="65">
        <v>1145287</v>
      </c>
      <c r="G58" s="65">
        <v>21709614</v>
      </c>
      <c r="H58" s="66">
        <v>19580533</v>
      </c>
      <c r="I58" s="65">
        <v>12103357</v>
      </c>
      <c r="J58" s="66">
        <v>5129724</v>
      </c>
      <c r="K58" s="65">
        <v>4254564</v>
      </c>
      <c r="L58" s="65">
        <v>2719069</v>
      </c>
      <c r="M58" s="65">
        <v>158673751</v>
      </c>
      <c r="N58" s="65">
        <v>5208229</v>
      </c>
      <c r="O58" s="66">
        <v>3424719</v>
      </c>
      <c r="P58" s="65">
        <v>374633</v>
      </c>
      <c r="Q58" s="66">
        <v>577337</v>
      </c>
      <c r="R58" s="66">
        <v>72120</v>
      </c>
      <c r="S58" s="65">
        <v>713164</v>
      </c>
      <c r="T58" s="65">
        <v>2575930</v>
      </c>
      <c r="U58" s="65">
        <v>259620</v>
      </c>
      <c r="V58" s="65">
        <v>29001032</v>
      </c>
      <c r="W58" s="65">
        <v>39375206</v>
      </c>
      <c r="X58" s="66">
        <v>1006787</v>
      </c>
      <c r="Y58" s="66">
        <v>1403669</v>
      </c>
      <c r="Z58" s="66">
        <v>2303335</v>
      </c>
      <c r="AA58" s="65">
        <v>2903466</v>
      </c>
      <c r="AB58" s="65">
        <v>6546456</v>
      </c>
      <c r="AC58" s="65">
        <v>10768555</v>
      </c>
      <c r="AD58" s="65">
        <v>29906383</v>
      </c>
      <c r="AE58" s="65">
        <v>17458539</v>
      </c>
      <c r="AF58" s="66">
        <v>434486</v>
      </c>
      <c r="AG58" s="66">
        <v>4360087</v>
      </c>
      <c r="AH58" s="66">
        <v>78189789</v>
      </c>
      <c r="AI58" s="65">
        <v>28501471</v>
      </c>
      <c r="AJ58" s="65">
        <v>13738239</v>
      </c>
      <c r="AK58" s="65">
        <v>14764469</v>
      </c>
      <c r="AL58" s="65">
        <v>-1237</v>
      </c>
      <c r="AM58" s="65">
        <v>49688317</v>
      </c>
      <c r="AN58" s="65">
        <v>10591942</v>
      </c>
      <c r="AO58" s="66">
        <v>652213</v>
      </c>
      <c r="AP58" s="65">
        <v>1113169</v>
      </c>
      <c r="AQ58" s="66">
        <v>2410116</v>
      </c>
      <c r="AR58" s="65">
        <v>5368356</v>
      </c>
      <c r="AS58" s="65">
        <v>5512417</v>
      </c>
      <c r="AT58" s="65">
        <v>1722011</v>
      </c>
      <c r="AU58" s="65">
        <v>2691784</v>
      </c>
      <c r="AV58" s="65">
        <v>1590642</v>
      </c>
      <c r="AW58" s="65">
        <v>13902987</v>
      </c>
      <c r="AX58" s="66">
        <v>1084634</v>
      </c>
      <c r="AY58" s="65">
        <v>3048046</v>
      </c>
      <c r="AZ58" s="66">
        <v>0</v>
      </c>
      <c r="BA58" s="65">
        <v>12540136</v>
      </c>
      <c r="BB58" s="65">
        <v>3249092</v>
      </c>
      <c r="BC58" s="65">
        <v>4339841</v>
      </c>
      <c r="BD58" s="65">
        <v>220279</v>
      </c>
      <c r="BE58" s="65">
        <v>1444662</v>
      </c>
      <c r="BF58" s="65">
        <v>2804631</v>
      </c>
      <c r="BG58" s="66">
        <v>481631</v>
      </c>
      <c r="BH58" s="65">
        <v>58841345</v>
      </c>
      <c r="BI58" s="66">
        <v>23358272</v>
      </c>
      <c r="BJ58" s="65">
        <v>3741116</v>
      </c>
      <c r="BK58" s="65">
        <v>5068451</v>
      </c>
      <c r="BL58" s="65">
        <v>22497174</v>
      </c>
      <c r="BM58" s="65">
        <v>1638458</v>
      </c>
      <c r="BN58" s="66">
        <v>2537875</v>
      </c>
      <c r="BO58" s="66">
        <v>425380969</v>
      </c>
      <c r="BP58" s="65">
        <v>63313093</v>
      </c>
      <c r="BQ58" s="65">
        <v>39782127</v>
      </c>
      <c r="BR58" s="66">
        <v>170393786</v>
      </c>
      <c r="BS58" s="66">
        <v>151891963</v>
      </c>
      <c r="BT58" s="65">
        <v>23601516</v>
      </c>
      <c r="BU58" s="65">
        <v>16972872</v>
      </c>
      <c r="BV58" s="65">
        <v>6225535</v>
      </c>
      <c r="BW58" s="66">
        <v>403109</v>
      </c>
      <c r="BX58" s="65">
        <v>19884221</v>
      </c>
      <c r="BY58" s="65">
        <v>132180594</v>
      </c>
      <c r="BZ58" s="66">
        <v>8554757</v>
      </c>
      <c r="CA58" s="65">
        <v>7908098</v>
      </c>
      <c r="CB58" s="66">
        <v>646659</v>
      </c>
      <c r="CC58" s="66">
        <v>858022</v>
      </c>
      <c r="CD58" s="65">
        <v>22072284</v>
      </c>
      <c r="CE58" s="65">
        <v>12211894</v>
      </c>
      <c r="CF58" s="65">
        <v>1843314</v>
      </c>
      <c r="CG58" s="65">
        <v>8017076</v>
      </c>
      <c r="CH58" s="65">
        <v>5856968</v>
      </c>
      <c r="CI58" s="66">
        <v>2688310</v>
      </c>
      <c r="CJ58" s="66">
        <v>3168658</v>
      </c>
      <c r="CK58" s="65">
        <v>17425177</v>
      </c>
      <c r="CL58" s="65">
        <v>8652163</v>
      </c>
      <c r="CM58" s="65">
        <v>8773014</v>
      </c>
      <c r="CN58" s="65">
        <v>5692195</v>
      </c>
      <c r="CO58" s="65">
        <v>731147</v>
      </c>
      <c r="CP58" s="65">
        <v>1733931</v>
      </c>
      <c r="CQ58" s="65">
        <v>3227117</v>
      </c>
      <c r="CR58" s="66">
        <v>0</v>
      </c>
    </row>
    <row r="59" spans="1:96" s="72" customFormat="1" ht="10.199999999999999" x14ac:dyDescent="0.2">
      <c r="A59" s="55" t="s">
        <v>235</v>
      </c>
      <c r="B59" s="59">
        <v>23943764728</v>
      </c>
      <c r="C59" s="59">
        <v>155897929</v>
      </c>
      <c r="D59" s="59">
        <v>117023829</v>
      </c>
      <c r="E59" s="59">
        <v>10243827</v>
      </c>
      <c r="F59" s="59">
        <v>28630273</v>
      </c>
      <c r="G59" s="59">
        <v>349477983</v>
      </c>
      <c r="H59" s="58">
        <v>608882998</v>
      </c>
      <c r="I59" s="59">
        <v>1159655313</v>
      </c>
      <c r="J59" s="58">
        <v>456004503</v>
      </c>
      <c r="K59" s="59">
        <v>215597964</v>
      </c>
      <c r="L59" s="59">
        <v>488052846</v>
      </c>
      <c r="M59" s="59">
        <v>6302927006</v>
      </c>
      <c r="N59" s="59">
        <v>531615297</v>
      </c>
      <c r="O59" s="58">
        <v>141140273</v>
      </c>
      <c r="P59" s="59">
        <v>29708513</v>
      </c>
      <c r="Q59" s="58">
        <v>50930518</v>
      </c>
      <c r="R59" s="58">
        <v>6971162</v>
      </c>
      <c r="S59" s="59">
        <v>64538012</v>
      </c>
      <c r="T59" s="59">
        <v>161674753</v>
      </c>
      <c r="U59" s="59">
        <v>74537672</v>
      </c>
      <c r="V59" s="59">
        <v>1414520498</v>
      </c>
      <c r="W59" s="59">
        <v>771394693</v>
      </c>
      <c r="X59" s="58">
        <v>143466813</v>
      </c>
      <c r="Y59" s="58">
        <v>96769040</v>
      </c>
      <c r="Z59" s="58">
        <v>191998965</v>
      </c>
      <c r="AA59" s="59">
        <v>253935929</v>
      </c>
      <c r="AB59" s="59">
        <v>328184666</v>
      </c>
      <c r="AC59" s="59">
        <v>608163676</v>
      </c>
      <c r="AD59" s="59">
        <v>326964951</v>
      </c>
      <c r="AE59" s="59">
        <v>824303559</v>
      </c>
      <c r="AF59" s="58">
        <v>49992002</v>
      </c>
      <c r="AG59" s="58">
        <v>232116013</v>
      </c>
      <c r="AH59" s="58">
        <v>6556769695</v>
      </c>
      <c r="AI59" s="59">
        <v>3363633663</v>
      </c>
      <c r="AJ59" s="59">
        <v>1457300072</v>
      </c>
      <c r="AK59" s="59">
        <v>1900923502</v>
      </c>
      <c r="AL59" s="59">
        <v>5410089</v>
      </c>
      <c r="AM59" s="59">
        <v>3193135930</v>
      </c>
      <c r="AN59" s="59">
        <v>602829952</v>
      </c>
      <c r="AO59" s="58">
        <v>75921975</v>
      </c>
      <c r="AP59" s="59">
        <v>95187548</v>
      </c>
      <c r="AQ59" s="58">
        <v>199853136</v>
      </c>
      <c r="AR59" s="59">
        <v>512244998</v>
      </c>
      <c r="AS59" s="59">
        <v>315361217</v>
      </c>
      <c r="AT59" s="59">
        <v>255082078</v>
      </c>
      <c r="AU59" s="59">
        <v>173073277</v>
      </c>
      <c r="AV59" s="59">
        <v>81652946</v>
      </c>
      <c r="AW59" s="59">
        <v>609496969</v>
      </c>
      <c r="AX59" s="58">
        <v>107755961</v>
      </c>
      <c r="AY59" s="59">
        <v>164675874</v>
      </c>
      <c r="AZ59" s="60">
        <v>102</v>
      </c>
      <c r="BA59" s="59">
        <v>673014177</v>
      </c>
      <c r="BB59" s="59">
        <v>230408234</v>
      </c>
      <c r="BC59" s="59">
        <v>195660826</v>
      </c>
      <c r="BD59" s="59">
        <v>22250479</v>
      </c>
      <c r="BE59" s="59">
        <v>11743660</v>
      </c>
      <c r="BF59" s="59">
        <v>192854026</v>
      </c>
      <c r="BG59" s="58">
        <v>20096952</v>
      </c>
      <c r="BH59" s="59">
        <v>1004152999</v>
      </c>
      <c r="BI59" s="58">
        <v>241833880</v>
      </c>
      <c r="BJ59" s="59">
        <v>82237337</v>
      </c>
      <c r="BK59" s="59">
        <v>101209086</v>
      </c>
      <c r="BL59" s="59">
        <v>493163910</v>
      </c>
      <c r="BM59" s="59">
        <v>28937803</v>
      </c>
      <c r="BN59" s="58">
        <v>56770984</v>
      </c>
      <c r="BO59" s="58">
        <v>3030453677</v>
      </c>
      <c r="BP59" s="59">
        <v>524159109</v>
      </c>
      <c r="BQ59" s="59">
        <v>295432200</v>
      </c>
      <c r="BR59" s="58">
        <v>2102674310</v>
      </c>
      <c r="BS59" s="58">
        <v>108188057</v>
      </c>
      <c r="BT59" s="59">
        <v>294885975</v>
      </c>
      <c r="BU59" s="59">
        <v>180874352</v>
      </c>
      <c r="BV59" s="59">
        <v>109826664</v>
      </c>
      <c r="BW59" s="58">
        <v>4184959</v>
      </c>
      <c r="BX59" s="59">
        <v>1020474449</v>
      </c>
      <c r="BY59" s="59">
        <v>958419022</v>
      </c>
      <c r="BZ59" s="58">
        <v>430270396</v>
      </c>
      <c r="CA59" s="59">
        <v>368032249</v>
      </c>
      <c r="CB59" s="58">
        <v>62238147</v>
      </c>
      <c r="CC59" s="58">
        <v>51495314</v>
      </c>
      <c r="CD59" s="59">
        <v>630064507</v>
      </c>
      <c r="CE59" s="59">
        <v>401376608</v>
      </c>
      <c r="CF59" s="59">
        <v>98778423</v>
      </c>
      <c r="CG59" s="59">
        <v>129909477</v>
      </c>
      <c r="CH59" s="59">
        <v>93164891</v>
      </c>
      <c r="CI59" s="58">
        <v>43067264</v>
      </c>
      <c r="CJ59" s="58">
        <v>50097627</v>
      </c>
      <c r="CK59" s="59">
        <v>438549269</v>
      </c>
      <c r="CL59" s="59">
        <v>99498747</v>
      </c>
      <c r="CM59" s="59">
        <v>339050522</v>
      </c>
      <c r="CN59" s="59">
        <v>185162545</v>
      </c>
      <c r="CO59" s="59">
        <v>99101742</v>
      </c>
      <c r="CP59" s="59">
        <v>72676920</v>
      </c>
      <c r="CQ59" s="59">
        <v>13383883</v>
      </c>
      <c r="CR59" s="60">
        <v>46583</v>
      </c>
    </row>
    <row r="60" spans="1:96" s="68" customFormat="1" ht="10.199999999999999" x14ac:dyDescent="0.2">
      <c r="A60" s="64" t="s">
        <v>236</v>
      </c>
      <c r="B60" s="65">
        <v>13286300393</v>
      </c>
      <c r="C60" s="65">
        <v>74794983</v>
      </c>
      <c r="D60" s="65">
        <v>51353789</v>
      </c>
      <c r="E60" s="65">
        <v>5292049</v>
      </c>
      <c r="F60" s="65">
        <v>18149145</v>
      </c>
      <c r="G60" s="65">
        <v>165264843</v>
      </c>
      <c r="H60" s="66">
        <v>324957989</v>
      </c>
      <c r="I60" s="65">
        <v>872325328</v>
      </c>
      <c r="J60" s="66">
        <v>382879403</v>
      </c>
      <c r="K60" s="65">
        <v>165227144</v>
      </c>
      <c r="L60" s="65">
        <v>324218781</v>
      </c>
      <c r="M60" s="65">
        <v>4336071388</v>
      </c>
      <c r="N60" s="65">
        <v>391634713</v>
      </c>
      <c r="O60" s="66">
        <v>68028556</v>
      </c>
      <c r="P60" s="65">
        <v>20358456</v>
      </c>
      <c r="Q60" s="66">
        <v>33132497</v>
      </c>
      <c r="R60" s="66">
        <v>4424835</v>
      </c>
      <c r="S60" s="65">
        <v>46049584</v>
      </c>
      <c r="T60" s="65">
        <v>109944490</v>
      </c>
      <c r="U60" s="65">
        <v>45334802</v>
      </c>
      <c r="V60" s="65">
        <v>1249934141</v>
      </c>
      <c r="W60" s="65">
        <v>422268299</v>
      </c>
      <c r="X60" s="66">
        <v>100560927</v>
      </c>
      <c r="Y60" s="66">
        <v>61586381</v>
      </c>
      <c r="Z60" s="66">
        <v>149923422</v>
      </c>
      <c r="AA60" s="65">
        <v>171651059</v>
      </c>
      <c r="AB60" s="65">
        <v>215267752</v>
      </c>
      <c r="AC60" s="65">
        <v>367188046</v>
      </c>
      <c r="AD60" s="65">
        <v>153284318</v>
      </c>
      <c r="AE60" s="65">
        <v>559594439</v>
      </c>
      <c r="AF60" s="66">
        <v>33051536</v>
      </c>
      <c r="AG60" s="66">
        <v>132853134</v>
      </c>
      <c r="AH60" s="66">
        <v>5090483952</v>
      </c>
      <c r="AI60" s="65">
        <v>2744095173</v>
      </c>
      <c r="AJ60" s="65">
        <v>1139926056</v>
      </c>
      <c r="AK60" s="65">
        <v>1604154276</v>
      </c>
      <c r="AL60" s="65">
        <v>14841</v>
      </c>
      <c r="AM60" s="65">
        <v>2346388779</v>
      </c>
      <c r="AN60" s="65">
        <v>493200519</v>
      </c>
      <c r="AO60" s="66">
        <v>43757257</v>
      </c>
      <c r="AP60" s="65">
        <v>67786938</v>
      </c>
      <c r="AQ60" s="66">
        <v>136761780</v>
      </c>
      <c r="AR60" s="65">
        <v>378459220</v>
      </c>
      <c r="AS60" s="65">
        <v>233526981</v>
      </c>
      <c r="AT60" s="65">
        <v>225121305</v>
      </c>
      <c r="AU60" s="65">
        <v>92801401</v>
      </c>
      <c r="AV60" s="65">
        <v>49147988</v>
      </c>
      <c r="AW60" s="65">
        <v>447940473</v>
      </c>
      <c r="AX60" s="66">
        <v>67117068</v>
      </c>
      <c r="AY60" s="65">
        <v>110767847</v>
      </c>
      <c r="AZ60" s="66">
        <v>0</v>
      </c>
      <c r="BA60" s="65">
        <v>196538965</v>
      </c>
      <c r="BB60" s="65">
        <v>46037175</v>
      </c>
      <c r="BC60" s="65">
        <v>61558336</v>
      </c>
      <c r="BD60" s="65">
        <v>6352125</v>
      </c>
      <c r="BE60" s="65">
        <v>4941690</v>
      </c>
      <c r="BF60" s="65">
        <v>71179852</v>
      </c>
      <c r="BG60" s="66">
        <v>6469787</v>
      </c>
      <c r="BH60" s="65">
        <v>225729368</v>
      </c>
      <c r="BI60" s="66">
        <v>66737193</v>
      </c>
      <c r="BJ60" s="65">
        <v>20739112</v>
      </c>
      <c r="BK60" s="65">
        <v>11489642</v>
      </c>
      <c r="BL60" s="65">
        <v>102768004</v>
      </c>
      <c r="BM60" s="65">
        <v>7222410</v>
      </c>
      <c r="BN60" s="66">
        <v>16773007</v>
      </c>
      <c r="BO60" s="66">
        <v>1137147012</v>
      </c>
      <c r="BP60" s="65">
        <v>3048278</v>
      </c>
      <c r="BQ60" s="65">
        <v>10728361</v>
      </c>
      <c r="BR60" s="66">
        <v>1122997902</v>
      </c>
      <c r="BS60" s="67">
        <v>372471</v>
      </c>
      <c r="BT60" s="65">
        <v>28561374</v>
      </c>
      <c r="BU60" s="65">
        <v>4524540</v>
      </c>
      <c r="BV60" s="65">
        <v>23748069</v>
      </c>
      <c r="BW60" s="66">
        <v>288765</v>
      </c>
      <c r="BX60" s="65">
        <v>343414604</v>
      </c>
      <c r="BY60" s="65">
        <v>6526272</v>
      </c>
      <c r="BZ60" s="66">
        <v>178367552</v>
      </c>
      <c r="CA60" s="65">
        <v>153087894</v>
      </c>
      <c r="CB60" s="66">
        <v>25279658</v>
      </c>
      <c r="CC60" s="66">
        <v>7158029</v>
      </c>
      <c r="CD60" s="65">
        <v>56923758</v>
      </c>
      <c r="CE60" s="65">
        <v>35910680</v>
      </c>
      <c r="CF60" s="65">
        <v>15791863</v>
      </c>
      <c r="CG60" s="65">
        <v>5221215</v>
      </c>
      <c r="CH60" s="65">
        <v>17883101</v>
      </c>
      <c r="CI60" s="66">
        <v>8035840</v>
      </c>
      <c r="CJ60" s="66">
        <v>9847260</v>
      </c>
      <c r="CK60" s="65">
        <v>151442479</v>
      </c>
      <c r="CL60" s="65">
        <v>12076132</v>
      </c>
      <c r="CM60" s="65">
        <v>139366348</v>
      </c>
      <c r="CN60" s="65">
        <v>72709396</v>
      </c>
      <c r="CO60" s="65">
        <v>50571374</v>
      </c>
      <c r="CP60" s="65">
        <v>20922433</v>
      </c>
      <c r="CQ60" s="65">
        <v>1215588</v>
      </c>
      <c r="CR60" s="66">
        <v>0</v>
      </c>
    </row>
    <row r="61" spans="1:96" s="68" customFormat="1" ht="10.199999999999999" x14ac:dyDescent="0.2">
      <c r="A61" s="64" t="s">
        <v>237</v>
      </c>
      <c r="B61" s="65">
        <v>428085257</v>
      </c>
      <c r="C61" s="65">
        <v>2957035</v>
      </c>
      <c r="D61" s="65">
        <v>1896281</v>
      </c>
      <c r="E61" s="65">
        <v>245022</v>
      </c>
      <c r="F61" s="65">
        <v>815732</v>
      </c>
      <c r="G61" s="65">
        <v>3947706</v>
      </c>
      <c r="H61" s="66">
        <v>1938703</v>
      </c>
      <c r="I61" s="65">
        <v>38596212</v>
      </c>
      <c r="J61" s="66">
        <v>9335910</v>
      </c>
      <c r="K61" s="65">
        <v>4844770</v>
      </c>
      <c r="L61" s="65">
        <v>24415532</v>
      </c>
      <c r="M61" s="65">
        <v>45301390</v>
      </c>
      <c r="N61" s="65">
        <v>3430505</v>
      </c>
      <c r="O61" s="66">
        <v>796874</v>
      </c>
      <c r="P61" s="65">
        <v>491139</v>
      </c>
      <c r="Q61" s="66">
        <v>1083187</v>
      </c>
      <c r="R61" s="66">
        <v>123761</v>
      </c>
      <c r="S61" s="65">
        <v>944820</v>
      </c>
      <c r="T61" s="65">
        <v>913664</v>
      </c>
      <c r="U61" s="65">
        <v>2177743</v>
      </c>
      <c r="V61" s="65">
        <v>934891</v>
      </c>
      <c r="W61" s="65">
        <v>4872395</v>
      </c>
      <c r="X61" s="66">
        <v>1930534</v>
      </c>
      <c r="Y61" s="66">
        <v>1346047</v>
      </c>
      <c r="Z61" s="66">
        <v>1418818</v>
      </c>
      <c r="AA61" s="65">
        <v>7022725</v>
      </c>
      <c r="AB61" s="65">
        <v>3773944</v>
      </c>
      <c r="AC61" s="65">
        <v>4532660</v>
      </c>
      <c r="AD61" s="65">
        <v>2123549</v>
      </c>
      <c r="AE61" s="65">
        <v>2455853</v>
      </c>
      <c r="AF61" s="66">
        <v>1011255</v>
      </c>
      <c r="AG61" s="66">
        <v>3917027</v>
      </c>
      <c r="AH61" s="66">
        <v>66220294</v>
      </c>
      <c r="AI61" s="65">
        <v>37721977</v>
      </c>
      <c r="AJ61" s="65">
        <v>22242420</v>
      </c>
      <c r="AK61" s="65">
        <v>14385092</v>
      </c>
      <c r="AL61" s="65">
        <v>1094465</v>
      </c>
      <c r="AM61" s="65">
        <v>28498317</v>
      </c>
      <c r="AN61" s="65">
        <v>5804302</v>
      </c>
      <c r="AO61" s="66">
        <v>1998537</v>
      </c>
      <c r="AP61" s="65">
        <v>1478344</v>
      </c>
      <c r="AQ61" s="66">
        <v>2552245</v>
      </c>
      <c r="AR61" s="65">
        <v>3440750</v>
      </c>
      <c r="AS61" s="65">
        <v>3157602</v>
      </c>
      <c r="AT61" s="65">
        <v>1164282</v>
      </c>
      <c r="AU61" s="65">
        <v>2328448</v>
      </c>
      <c r="AV61" s="65">
        <v>1177092</v>
      </c>
      <c r="AW61" s="65">
        <v>655802</v>
      </c>
      <c r="AX61" s="66">
        <v>2361411</v>
      </c>
      <c r="AY61" s="65">
        <v>2379503</v>
      </c>
      <c r="AZ61" s="66">
        <v>0</v>
      </c>
      <c r="BA61" s="65">
        <v>12930890</v>
      </c>
      <c r="BB61" s="65">
        <v>1183921</v>
      </c>
      <c r="BC61" s="65">
        <v>8261387</v>
      </c>
      <c r="BD61" s="65">
        <v>554242</v>
      </c>
      <c r="BE61" s="65">
        <v>52656</v>
      </c>
      <c r="BF61" s="65">
        <v>2550675</v>
      </c>
      <c r="BG61" s="66">
        <v>328009</v>
      </c>
      <c r="BH61" s="65">
        <v>12876095</v>
      </c>
      <c r="BI61" s="66">
        <v>4069242</v>
      </c>
      <c r="BJ61" s="65">
        <v>2541221</v>
      </c>
      <c r="BK61" s="65">
        <v>1357487</v>
      </c>
      <c r="BL61" s="65">
        <v>2545417</v>
      </c>
      <c r="BM61" s="65">
        <v>947718</v>
      </c>
      <c r="BN61" s="66">
        <v>1415011</v>
      </c>
      <c r="BO61" s="66">
        <v>31713462</v>
      </c>
      <c r="BP61" s="65">
        <v>4970650</v>
      </c>
      <c r="BQ61" s="65">
        <v>13759038</v>
      </c>
      <c r="BR61" s="66">
        <v>12823777</v>
      </c>
      <c r="BS61" s="66">
        <v>159998</v>
      </c>
      <c r="BT61" s="65">
        <v>11981649</v>
      </c>
      <c r="BU61" s="65">
        <v>9953182</v>
      </c>
      <c r="BV61" s="65">
        <v>1873066</v>
      </c>
      <c r="BW61" s="66">
        <v>155400</v>
      </c>
      <c r="BX61" s="65">
        <v>72365136</v>
      </c>
      <c r="BY61" s="65">
        <v>8052488</v>
      </c>
      <c r="BZ61" s="66">
        <v>12699599</v>
      </c>
      <c r="CA61" s="65">
        <v>11161786</v>
      </c>
      <c r="CB61" s="66">
        <v>1537813</v>
      </c>
      <c r="CC61" s="66">
        <v>2245207</v>
      </c>
      <c r="CD61" s="65">
        <v>78441057</v>
      </c>
      <c r="CE61" s="65">
        <v>72263595</v>
      </c>
      <c r="CF61" s="65">
        <v>4956476</v>
      </c>
      <c r="CG61" s="65">
        <v>1220986</v>
      </c>
      <c r="CH61" s="65">
        <v>6412336</v>
      </c>
      <c r="CI61" s="66">
        <v>5154337</v>
      </c>
      <c r="CJ61" s="66">
        <v>1257999</v>
      </c>
      <c r="CK61" s="65">
        <v>9115806</v>
      </c>
      <c r="CL61" s="65">
        <v>932841</v>
      </c>
      <c r="CM61" s="65">
        <v>8182964</v>
      </c>
      <c r="CN61" s="65">
        <v>10285284</v>
      </c>
      <c r="CO61" s="65">
        <v>6018389</v>
      </c>
      <c r="CP61" s="65">
        <v>4140217</v>
      </c>
      <c r="CQ61" s="65">
        <v>126678</v>
      </c>
      <c r="CR61" s="67">
        <v>4906</v>
      </c>
    </row>
    <row r="62" spans="1:96" s="68" customFormat="1" ht="10.199999999999999" x14ac:dyDescent="0.2">
      <c r="A62" s="64" t="s">
        <v>282</v>
      </c>
      <c r="B62" s="65">
        <v>2430417317</v>
      </c>
      <c r="C62" s="65">
        <v>11516160</v>
      </c>
      <c r="D62" s="65">
        <v>8138527</v>
      </c>
      <c r="E62" s="65">
        <v>931528</v>
      </c>
      <c r="F62" s="65">
        <v>2446106</v>
      </c>
      <c r="G62" s="65">
        <v>18570089</v>
      </c>
      <c r="H62" s="66">
        <v>25427931</v>
      </c>
      <c r="I62" s="65">
        <v>66495175</v>
      </c>
      <c r="J62" s="66">
        <v>17353245</v>
      </c>
      <c r="K62" s="65">
        <v>9427441</v>
      </c>
      <c r="L62" s="65">
        <v>39714488</v>
      </c>
      <c r="M62" s="65">
        <v>414498592</v>
      </c>
      <c r="N62" s="65">
        <v>24366580</v>
      </c>
      <c r="O62" s="66">
        <v>11535201</v>
      </c>
      <c r="P62" s="65">
        <v>2636913</v>
      </c>
      <c r="Q62" s="66">
        <v>4924385</v>
      </c>
      <c r="R62" s="66">
        <v>800896</v>
      </c>
      <c r="S62" s="65">
        <v>4337973</v>
      </c>
      <c r="T62" s="65">
        <v>11137049</v>
      </c>
      <c r="U62" s="65">
        <v>8367304</v>
      </c>
      <c r="V62" s="65">
        <v>25217454</v>
      </c>
      <c r="W62" s="65">
        <v>74647381</v>
      </c>
      <c r="X62" s="66">
        <v>8615318</v>
      </c>
      <c r="Y62" s="66">
        <v>5895860</v>
      </c>
      <c r="Z62" s="66">
        <v>6895108</v>
      </c>
      <c r="AA62" s="65">
        <v>17877341</v>
      </c>
      <c r="AB62" s="65">
        <v>29996111</v>
      </c>
      <c r="AC62" s="65">
        <v>85225585</v>
      </c>
      <c r="AD62" s="65">
        <v>22573516</v>
      </c>
      <c r="AE62" s="65">
        <v>32319581</v>
      </c>
      <c r="AF62" s="66">
        <v>4827607</v>
      </c>
      <c r="AG62" s="66">
        <v>32301430</v>
      </c>
      <c r="AH62" s="66">
        <v>486513852</v>
      </c>
      <c r="AI62" s="65">
        <v>186430897</v>
      </c>
      <c r="AJ62" s="65">
        <v>98943253</v>
      </c>
      <c r="AK62" s="65">
        <v>85607842</v>
      </c>
      <c r="AL62" s="65">
        <v>1879802</v>
      </c>
      <c r="AM62" s="65">
        <v>300082956</v>
      </c>
      <c r="AN62" s="65">
        <v>39433505</v>
      </c>
      <c r="AO62" s="66">
        <v>9652223</v>
      </c>
      <c r="AP62" s="65">
        <v>9757124</v>
      </c>
      <c r="AQ62" s="66">
        <v>25351667</v>
      </c>
      <c r="AR62" s="65">
        <v>48091719</v>
      </c>
      <c r="AS62" s="65">
        <v>30091292</v>
      </c>
      <c r="AT62" s="65">
        <v>8616061</v>
      </c>
      <c r="AU62" s="65">
        <v>25142637</v>
      </c>
      <c r="AV62" s="65">
        <v>10124639</v>
      </c>
      <c r="AW62" s="65">
        <v>67596976</v>
      </c>
      <c r="AX62" s="66">
        <v>12568640</v>
      </c>
      <c r="AY62" s="65">
        <v>13656473</v>
      </c>
      <c r="AZ62" s="66">
        <v>0</v>
      </c>
      <c r="BA62" s="65">
        <v>120758216</v>
      </c>
      <c r="BB62" s="65">
        <v>40687294</v>
      </c>
      <c r="BC62" s="65">
        <v>33729001</v>
      </c>
      <c r="BD62" s="65">
        <v>5394990</v>
      </c>
      <c r="BE62" s="65">
        <v>685275</v>
      </c>
      <c r="BF62" s="65">
        <v>36353596</v>
      </c>
      <c r="BG62" s="66">
        <v>3908059</v>
      </c>
      <c r="BH62" s="65">
        <v>164678256</v>
      </c>
      <c r="BI62" s="66">
        <v>60632206</v>
      </c>
      <c r="BJ62" s="65">
        <v>7989824</v>
      </c>
      <c r="BK62" s="65">
        <v>15157788</v>
      </c>
      <c r="BL62" s="65">
        <v>62425025</v>
      </c>
      <c r="BM62" s="65">
        <v>6581822</v>
      </c>
      <c r="BN62" s="66">
        <v>11891591</v>
      </c>
      <c r="BO62" s="66">
        <v>276058456</v>
      </c>
      <c r="BP62" s="65">
        <v>38741417</v>
      </c>
      <c r="BQ62" s="65">
        <v>70261359</v>
      </c>
      <c r="BR62" s="66">
        <v>166315771</v>
      </c>
      <c r="BS62" s="66">
        <v>739909</v>
      </c>
      <c r="BT62" s="65">
        <v>51508741</v>
      </c>
      <c r="BU62" s="65">
        <v>36718025</v>
      </c>
      <c r="BV62" s="65">
        <v>13900820</v>
      </c>
      <c r="BW62" s="66">
        <v>889896</v>
      </c>
      <c r="BX62" s="65">
        <v>234809310</v>
      </c>
      <c r="BY62" s="65">
        <v>128003851</v>
      </c>
      <c r="BZ62" s="66">
        <v>89937621</v>
      </c>
      <c r="CA62" s="65">
        <v>80251740</v>
      </c>
      <c r="CB62" s="66">
        <v>9685881</v>
      </c>
      <c r="CC62" s="66">
        <v>16221579</v>
      </c>
      <c r="CD62" s="65">
        <v>192364945</v>
      </c>
      <c r="CE62" s="65">
        <v>109349216</v>
      </c>
      <c r="CF62" s="65">
        <v>32797311</v>
      </c>
      <c r="CG62" s="65">
        <v>50218418</v>
      </c>
      <c r="CH62" s="65">
        <v>17644618</v>
      </c>
      <c r="CI62" s="66">
        <v>7492134</v>
      </c>
      <c r="CJ62" s="66">
        <v>10152484</v>
      </c>
      <c r="CK62" s="65">
        <v>85929375</v>
      </c>
      <c r="CL62" s="65">
        <v>21622710</v>
      </c>
      <c r="CM62" s="65">
        <v>64306665</v>
      </c>
      <c r="CN62" s="65">
        <v>29480547</v>
      </c>
      <c r="CO62" s="65">
        <v>13323919</v>
      </c>
      <c r="CP62" s="65">
        <v>14884761</v>
      </c>
      <c r="CQ62" s="65">
        <v>1271868</v>
      </c>
      <c r="CR62" s="66">
        <v>0</v>
      </c>
    </row>
    <row r="63" spans="1:96" s="68" customFormat="1" ht="10.199999999999999" x14ac:dyDescent="0.2">
      <c r="A63" s="64" t="s">
        <v>238</v>
      </c>
      <c r="B63" s="65">
        <v>162600239</v>
      </c>
      <c r="C63" s="65">
        <v>3652789</v>
      </c>
      <c r="D63" s="65">
        <v>2841389</v>
      </c>
      <c r="E63" s="65">
        <v>251708</v>
      </c>
      <c r="F63" s="65">
        <v>559691</v>
      </c>
      <c r="G63" s="65">
        <v>2131175</v>
      </c>
      <c r="H63" s="66">
        <v>17076231</v>
      </c>
      <c r="I63" s="65">
        <v>4826152</v>
      </c>
      <c r="J63" s="66">
        <v>985866</v>
      </c>
      <c r="K63" s="65">
        <v>1228212</v>
      </c>
      <c r="L63" s="65">
        <v>2612074</v>
      </c>
      <c r="M63" s="65">
        <v>27439502</v>
      </c>
      <c r="N63" s="65">
        <v>2865159</v>
      </c>
      <c r="O63" s="66">
        <v>859463</v>
      </c>
      <c r="P63" s="65">
        <v>142017</v>
      </c>
      <c r="Q63" s="66">
        <v>184707</v>
      </c>
      <c r="R63" s="66">
        <v>31884</v>
      </c>
      <c r="S63" s="65">
        <v>368282</v>
      </c>
      <c r="T63" s="65">
        <v>941218</v>
      </c>
      <c r="U63" s="65">
        <v>499495</v>
      </c>
      <c r="V63" s="65">
        <v>2325317</v>
      </c>
      <c r="W63" s="65">
        <v>5054307</v>
      </c>
      <c r="X63" s="66">
        <v>840359</v>
      </c>
      <c r="Y63" s="66">
        <v>761802</v>
      </c>
      <c r="Z63" s="66">
        <v>1783153</v>
      </c>
      <c r="AA63" s="65">
        <v>1077126</v>
      </c>
      <c r="AB63" s="65">
        <v>1233343</v>
      </c>
      <c r="AC63" s="65">
        <v>3021124</v>
      </c>
      <c r="AD63" s="65">
        <v>1487541</v>
      </c>
      <c r="AE63" s="65">
        <v>2539251</v>
      </c>
      <c r="AF63" s="66">
        <v>217951</v>
      </c>
      <c r="AG63" s="66">
        <v>1206002</v>
      </c>
      <c r="AH63" s="66">
        <v>27857878</v>
      </c>
      <c r="AI63" s="65">
        <v>10388498</v>
      </c>
      <c r="AJ63" s="65">
        <v>4545310</v>
      </c>
      <c r="AK63" s="65">
        <v>5813783</v>
      </c>
      <c r="AL63" s="65">
        <v>29406</v>
      </c>
      <c r="AM63" s="65">
        <v>17469380</v>
      </c>
      <c r="AN63" s="65">
        <v>1776845</v>
      </c>
      <c r="AO63" s="66">
        <v>611977</v>
      </c>
      <c r="AP63" s="65">
        <v>347524</v>
      </c>
      <c r="AQ63" s="66">
        <v>1170337</v>
      </c>
      <c r="AR63" s="65">
        <v>4127356</v>
      </c>
      <c r="AS63" s="65">
        <v>1059447</v>
      </c>
      <c r="AT63" s="65">
        <v>1212827</v>
      </c>
      <c r="AU63" s="65">
        <v>1296779</v>
      </c>
      <c r="AV63" s="65">
        <v>755476</v>
      </c>
      <c r="AW63" s="65">
        <v>3653403</v>
      </c>
      <c r="AX63" s="66">
        <v>830494</v>
      </c>
      <c r="AY63" s="65">
        <v>626915</v>
      </c>
      <c r="AZ63" s="66">
        <v>0</v>
      </c>
      <c r="BA63" s="65">
        <v>20898209</v>
      </c>
      <c r="BB63" s="65">
        <v>10823423</v>
      </c>
      <c r="BC63" s="65">
        <v>5032674</v>
      </c>
      <c r="BD63" s="65">
        <v>435909</v>
      </c>
      <c r="BE63" s="65">
        <v>232644</v>
      </c>
      <c r="BF63" s="65">
        <v>3917668</v>
      </c>
      <c r="BG63" s="66">
        <v>455890</v>
      </c>
      <c r="BH63" s="65">
        <v>10656890</v>
      </c>
      <c r="BI63" s="66">
        <v>1665101</v>
      </c>
      <c r="BJ63" s="65">
        <v>761014</v>
      </c>
      <c r="BK63" s="65">
        <v>621108</v>
      </c>
      <c r="BL63" s="65">
        <v>7032523</v>
      </c>
      <c r="BM63" s="65">
        <v>224559</v>
      </c>
      <c r="BN63" s="66">
        <v>352585</v>
      </c>
      <c r="BO63" s="66">
        <v>4844698</v>
      </c>
      <c r="BP63" s="65">
        <v>1736650</v>
      </c>
      <c r="BQ63" s="65">
        <v>1182894</v>
      </c>
      <c r="BR63" s="66">
        <v>1826727</v>
      </c>
      <c r="BS63" s="66">
        <v>98427</v>
      </c>
      <c r="BT63" s="65">
        <v>7433514</v>
      </c>
      <c r="BU63" s="65">
        <v>4370347</v>
      </c>
      <c r="BV63" s="65">
        <v>3032336</v>
      </c>
      <c r="BW63" s="66">
        <v>30832</v>
      </c>
      <c r="BX63" s="65">
        <v>5491739</v>
      </c>
      <c r="BY63" s="65">
        <v>7442327</v>
      </c>
      <c r="BZ63" s="66">
        <v>3804429</v>
      </c>
      <c r="CA63" s="65">
        <v>2132932</v>
      </c>
      <c r="CB63" s="66">
        <v>1671497</v>
      </c>
      <c r="CC63" s="66">
        <v>634089</v>
      </c>
      <c r="CD63" s="65">
        <v>5784927</v>
      </c>
      <c r="CE63" s="65">
        <v>2976336</v>
      </c>
      <c r="CF63" s="65">
        <v>981058</v>
      </c>
      <c r="CG63" s="65">
        <v>1827533</v>
      </c>
      <c r="CH63" s="65">
        <v>1570389</v>
      </c>
      <c r="CI63" s="66">
        <v>263186</v>
      </c>
      <c r="CJ63" s="66">
        <v>1307202</v>
      </c>
      <c r="CK63" s="65">
        <v>7749457</v>
      </c>
      <c r="CL63" s="65">
        <v>2053588</v>
      </c>
      <c r="CM63" s="65">
        <v>5695868</v>
      </c>
      <c r="CN63" s="65">
        <v>3305696</v>
      </c>
      <c r="CO63" s="65">
        <v>803016</v>
      </c>
      <c r="CP63" s="65">
        <v>1086048</v>
      </c>
      <c r="CQ63" s="65">
        <v>1416632</v>
      </c>
      <c r="CR63" s="67">
        <v>147</v>
      </c>
    </row>
    <row r="64" spans="1:96" s="68" customFormat="1" ht="10.199999999999999" x14ac:dyDescent="0.2">
      <c r="A64" s="64" t="s">
        <v>239</v>
      </c>
      <c r="B64" s="65">
        <v>379381535</v>
      </c>
      <c r="C64" s="65">
        <v>121410</v>
      </c>
      <c r="D64" s="65">
        <v>78547</v>
      </c>
      <c r="E64" s="65">
        <v>8337</v>
      </c>
      <c r="F64" s="65">
        <v>34526</v>
      </c>
      <c r="G64" s="65">
        <v>847804</v>
      </c>
      <c r="H64" s="66">
        <v>3424298</v>
      </c>
      <c r="I64" s="65">
        <v>3170015</v>
      </c>
      <c r="J64" s="66">
        <v>965269</v>
      </c>
      <c r="K64" s="65">
        <v>775655</v>
      </c>
      <c r="L64" s="65">
        <v>1429092</v>
      </c>
      <c r="M64" s="65">
        <v>19868721</v>
      </c>
      <c r="N64" s="65">
        <v>304676</v>
      </c>
      <c r="O64" s="66">
        <v>105297</v>
      </c>
      <c r="P64" s="65">
        <v>140090</v>
      </c>
      <c r="Q64" s="66">
        <v>133560</v>
      </c>
      <c r="R64" s="66">
        <v>25213</v>
      </c>
      <c r="S64" s="65">
        <v>203893</v>
      </c>
      <c r="T64" s="65">
        <v>211821</v>
      </c>
      <c r="U64" s="65">
        <v>346897</v>
      </c>
      <c r="V64" s="65">
        <v>502543</v>
      </c>
      <c r="W64" s="65">
        <v>1030682</v>
      </c>
      <c r="X64" s="66">
        <v>354020</v>
      </c>
      <c r="Y64" s="66">
        <v>366152</v>
      </c>
      <c r="Z64" s="66">
        <v>328590</v>
      </c>
      <c r="AA64" s="65">
        <v>672055</v>
      </c>
      <c r="AB64" s="65">
        <v>1301413</v>
      </c>
      <c r="AC64" s="65">
        <v>1298981</v>
      </c>
      <c r="AD64" s="65">
        <v>6460707</v>
      </c>
      <c r="AE64" s="65">
        <v>5266899</v>
      </c>
      <c r="AF64" s="66">
        <v>268713</v>
      </c>
      <c r="AG64" s="66">
        <v>546519</v>
      </c>
      <c r="AH64" s="66">
        <v>17370446</v>
      </c>
      <c r="AI64" s="65">
        <v>9599731</v>
      </c>
      <c r="AJ64" s="65">
        <v>6631580</v>
      </c>
      <c r="AK64" s="65">
        <v>2962443</v>
      </c>
      <c r="AL64" s="69">
        <v>5708</v>
      </c>
      <c r="AM64" s="65">
        <v>7770715</v>
      </c>
      <c r="AN64" s="65">
        <v>981483</v>
      </c>
      <c r="AO64" s="66">
        <v>296741</v>
      </c>
      <c r="AP64" s="65">
        <v>163276</v>
      </c>
      <c r="AQ64" s="66">
        <v>1012195</v>
      </c>
      <c r="AR64" s="65">
        <v>376496</v>
      </c>
      <c r="AS64" s="65">
        <v>535082</v>
      </c>
      <c r="AT64" s="65">
        <v>115996</v>
      </c>
      <c r="AU64" s="65">
        <v>993420</v>
      </c>
      <c r="AV64" s="65">
        <v>222033</v>
      </c>
      <c r="AW64" s="65">
        <v>1836978</v>
      </c>
      <c r="AX64" s="66">
        <v>175731</v>
      </c>
      <c r="AY64" s="65">
        <v>1061286</v>
      </c>
      <c r="AZ64" s="66">
        <v>0</v>
      </c>
      <c r="BA64" s="65">
        <v>1341744</v>
      </c>
      <c r="BB64" s="65">
        <v>236143</v>
      </c>
      <c r="BC64" s="65">
        <v>406921</v>
      </c>
      <c r="BD64" s="65">
        <v>34856</v>
      </c>
      <c r="BE64" s="69">
        <v>6006</v>
      </c>
      <c r="BF64" s="65">
        <v>603165</v>
      </c>
      <c r="BG64" s="66">
        <v>54653</v>
      </c>
      <c r="BH64" s="65">
        <v>9422069</v>
      </c>
      <c r="BI64" s="66">
        <v>1903257</v>
      </c>
      <c r="BJ64" s="65">
        <v>285293</v>
      </c>
      <c r="BK64" s="65">
        <v>1126376</v>
      </c>
      <c r="BL64" s="65">
        <v>5757577</v>
      </c>
      <c r="BM64" s="65">
        <v>120524</v>
      </c>
      <c r="BN64" s="66">
        <v>229042</v>
      </c>
      <c r="BO64" s="66">
        <v>100258580</v>
      </c>
      <c r="BP64" s="65">
        <v>74419695</v>
      </c>
      <c r="BQ64" s="65">
        <v>3635130</v>
      </c>
      <c r="BR64" s="66">
        <v>10441945</v>
      </c>
      <c r="BS64" s="66">
        <v>11761809</v>
      </c>
      <c r="BT64" s="65">
        <v>3590266</v>
      </c>
      <c r="BU64" s="65">
        <v>2841440</v>
      </c>
      <c r="BV64" s="65">
        <v>721251</v>
      </c>
      <c r="BW64" s="66">
        <v>27575</v>
      </c>
      <c r="BX64" s="65">
        <v>3036041</v>
      </c>
      <c r="BY64" s="65">
        <v>202527884</v>
      </c>
      <c r="BZ64" s="66">
        <v>3199492</v>
      </c>
      <c r="CA64" s="65">
        <v>2951279</v>
      </c>
      <c r="CB64" s="66">
        <v>248213</v>
      </c>
      <c r="CC64" s="66">
        <v>1087556</v>
      </c>
      <c r="CD64" s="65">
        <v>8510566</v>
      </c>
      <c r="CE64" s="65">
        <v>2943570</v>
      </c>
      <c r="CF64" s="65">
        <v>2408018</v>
      </c>
      <c r="CG64" s="65">
        <v>3158978</v>
      </c>
      <c r="CH64" s="65">
        <v>449657</v>
      </c>
      <c r="CI64" s="66">
        <v>110351</v>
      </c>
      <c r="CJ64" s="66">
        <v>339306</v>
      </c>
      <c r="CK64" s="65">
        <v>590101</v>
      </c>
      <c r="CL64" s="65">
        <v>386397</v>
      </c>
      <c r="CM64" s="65">
        <v>203704</v>
      </c>
      <c r="CN64" s="65">
        <v>564886</v>
      </c>
      <c r="CO64" s="65">
        <v>197112</v>
      </c>
      <c r="CP64" s="65">
        <v>266682</v>
      </c>
      <c r="CQ64" s="65">
        <v>101091</v>
      </c>
      <c r="CR64" s="66">
        <v>0</v>
      </c>
    </row>
    <row r="65" spans="1:96" s="68" customFormat="1" ht="10.199999999999999" x14ac:dyDescent="0.2">
      <c r="A65" s="64" t="s">
        <v>240</v>
      </c>
      <c r="B65" s="65">
        <v>476296427</v>
      </c>
      <c r="C65" s="65">
        <v>7819897</v>
      </c>
      <c r="D65" s="65">
        <v>7066243</v>
      </c>
      <c r="E65" s="65">
        <v>162224</v>
      </c>
      <c r="F65" s="65">
        <v>591431</v>
      </c>
      <c r="G65" s="65">
        <v>7230339</v>
      </c>
      <c r="H65" s="66">
        <v>4509640</v>
      </c>
      <c r="I65" s="65">
        <v>21832072</v>
      </c>
      <c r="J65" s="66">
        <v>4414417</v>
      </c>
      <c r="K65" s="65">
        <v>5016189</v>
      </c>
      <c r="L65" s="65">
        <v>12401465</v>
      </c>
      <c r="M65" s="65">
        <v>62172290</v>
      </c>
      <c r="N65" s="65">
        <v>4578842</v>
      </c>
      <c r="O65" s="66">
        <v>1126193</v>
      </c>
      <c r="P65" s="65">
        <v>547035</v>
      </c>
      <c r="Q65" s="66">
        <v>1480924</v>
      </c>
      <c r="R65" s="66">
        <v>147708</v>
      </c>
      <c r="S65" s="65">
        <v>996129</v>
      </c>
      <c r="T65" s="65">
        <v>2021441</v>
      </c>
      <c r="U65" s="65">
        <v>2355820</v>
      </c>
      <c r="V65" s="65">
        <v>5224010</v>
      </c>
      <c r="W65" s="65">
        <v>7270201</v>
      </c>
      <c r="X65" s="66">
        <v>2611346</v>
      </c>
      <c r="Y65" s="66">
        <v>2141926</v>
      </c>
      <c r="Z65" s="66">
        <v>1510645</v>
      </c>
      <c r="AA65" s="65">
        <v>4857801</v>
      </c>
      <c r="AB65" s="65">
        <v>4417364</v>
      </c>
      <c r="AC65" s="65">
        <v>6198322</v>
      </c>
      <c r="AD65" s="65">
        <v>3076817</v>
      </c>
      <c r="AE65" s="65">
        <v>6736804</v>
      </c>
      <c r="AF65" s="66">
        <v>1145060</v>
      </c>
      <c r="AG65" s="66">
        <v>3727902</v>
      </c>
      <c r="AH65" s="66">
        <v>119494695</v>
      </c>
      <c r="AI65" s="65">
        <v>34564191</v>
      </c>
      <c r="AJ65" s="65">
        <v>19313167</v>
      </c>
      <c r="AK65" s="65">
        <v>15019285</v>
      </c>
      <c r="AL65" s="65">
        <v>231739</v>
      </c>
      <c r="AM65" s="65">
        <v>84930503</v>
      </c>
      <c r="AN65" s="65">
        <v>10204708</v>
      </c>
      <c r="AO65" s="66">
        <v>4519192</v>
      </c>
      <c r="AP65" s="65">
        <v>2888998</v>
      </c>
      <c r="AQ65" s="66">
        <v>4730534</v>
      </c>
      <c r="AR65" s="65">
        <v>12083834</v>
      </c>
      <c r="AS65" s="65">
        <v>8729186</v>
      </c>
      <c r="AT65" s="65">
        <v>3383822</v>
      </c>
      <c r="AU65" s="65">
        <v>15032456</v>
      </c>
      <c r="AV65" s="65">
        <v>5401715</v>
      </c>
      <c r="AW65" s="65">
        <v>10200784</v>
      </c>
      <c r="AX65" s="66">
        <v>5873774</v>
      </c>
      <c r="AY65" s="65">
        <v>1881501</v>
      </c>
      <c r="AZ65" s="66">
        <v>0</v>
      </c>
      <c r="BA65" s="65">
        <v>36285104</v>
      </c>
      <c r="BB65" s="65">
        <v>16114729</v>
      </c>
      <c r="BC65" s="65">
        <v>10337694</v>
      </c>
      <c r="BD65" s="65">
        <v>1251561</v>
      </c>
      <c r="BE65" s="65">
        <v>107286</v>
      </c>
      <c r="BF65" s="65">
        <v>6633154</v>
      </c>
      <c r="BG65" s="66">
        <v>1840679</v>
      </c>
      <c r="BH65" s="65">
        <v>26419327</v>
      </c>
      <c r="BI65" s="66">
        <v>4507161</v>
      </c>
      <c r="BJ65" s="65">
        <v>5873626</v>
      </c>
      <c r="BK65" s="65">
        <v>2321264</v>
      </c>
      <c r="BL65" s="65">
        <v>11486229</v>
      </c>
      <c r="BM65" s="65">
        <v>1094257</v>
      </c>
      <c r="BN65" s="66">
        <v>1136790</v>
      </c>
      <c r="BO65" s="66">
        <v>27330661</v>
      </c>
      <c r="BP65" s="65">
        <v>5116168</v>
      </c>
      <c r="BQ65" s="65">
        <v>6841144</v>
      </c>
      <c r="BR65" s="66">
        <v>15249023</v>
      </c>
      <c r="BS65" s="66">
        <v>124327</v>
      </c>
      <c r="BT65" s="65">
        <v>17129288</v>
      </c>
      <c r="BU65" s="65">
        <v>9995641</v>
      </c>
      <c r="BV65" s="65">
        <v>6964472</v>
      </c>
      <c r="BW65" s="66">
        <v>169175</v>
      </c>
      <c r="BX65" s="65">
        <v>35258851</v>
      </c>
      <c r="BY65" s="65">
        <v>15067696</v>
      </c>
      <c r="BZ65" s="66">
        <v>10343062</v>
      </c>
      <c r="CA65" s="65">
        <v>8534695</v>
      </c>
      <c r="CB65" s="66">
        <v>1808367</v>
      </c>
      <c r="CC65" s="66">
        <v>3585441</v>
      </c>
      <c r="CD65" s="65">
        <v>30003878</v>
      </c>
      <c r="CE65" s="65">
        <v>19651486</v>
      </c>
      <c r="CF65" s="65">
        <v>4363441</v>
      </c>
      <c r="CG65" s="65">
        <v>5988951</v>
      </c>
      <c r="CH65" s="65">
        <v>5683286</v>
      </c>
      <c r="CI65" s="66">
        <v>1585722</v>
      </c>
      <c r="CJ65" s="66">
        <v>4097563</v>
      </c>
      <c r="CK65" s="65">
        <v>33680599</v>
      </c>
      <c r="CL65" s="65">
        <v>8149657</v>
      </c>
      <c r="CM65" s="65">
        <v>25530942</v>
      </c>
      <c r="CN65" s="65">
        <v>12450300</v>
      </c>
      <c r="CO65" s="65">
        <v>5253367</v>
      </c>
      <c r="CP65" s="65">
        <v>7080584</v>
      </c>
      <c r="CQ65" s="65">
        <v>116349</v>
      </c>
      <c r="CR65" s="66">
        <v>0</v>
      </c>
    </row>
    <row r="66" spans="1:96" s="68" customFormat="1" ht="10.199999999999999" x14ac:dyDescent="0.2">
      <c r="A66" s="64" t="s">
        <v>241</v>
      </c>
      <c r="B66" s="65">
        <v>473161532</v>
      </c>
      <c r="C66" s="65">
        <v>2885743</v>
      </c>
      <c r="D66" s="65">
        <v>2098988</v>
      </c>
      <c r="E66" s="65">
        <v>254534</v>
      </c>
      <c r="F66" s="65">
        <v>532221</v>
      </c>
      <c r="G66" s="65">
        <v>8496592</v>
      </c>
      <c r="H66" s="66">
        <v>21907661</v>
      </c>
      <c r="I66" s="65">
        <v>19882523</v>
      </c>
      <c r="J66" s="66">
        <v>4443571</v>
      </c>
      <c r="K66" s="65">
        <v>3897839</v>
      </c>
      <c r="L66" s="65">
        <v>11541113</v>
      </c>
      <c r="M66" s="65">
        <v>106207999</v>
      </c>
      <c r="N66" s="65">
        <v>5381929</v>
      </c>
      <c r="O66" s="66">
        <v>19094432</v>
      </c>
      <c r="P66" s="65">
        <v>487646</v>
      </c>
      <c r="Q66" s="66">
        <v>1062288</v>
      </c>
      <c r="R66" s="66">
        <v>115607</v>
      </c>
      <c r="S66" s="65">
        <v>1028954</v>
      </c>
      <c r="T66" s="65">
        <v>2054488</v>
      </c>
      <c r="U66" s="65">
        <v>1681159</v>
      </c>
      <c r="V66" s="65">
        <v>23133764</v>
      </c>
      <c r="W66" s="65">
        <v>10899114</v>
      </c>
      <c r="X66" s="66">
        <v>2149675</v>
      </c>
      <c r="Y66" s="66">
        <v>1808217</v>
      </c>
      <c r="Z66" s="66">
        <v>1774203</v>
      </c>
      <c r="AA66" s="65">
        <v>4692431</v>
      </c>
      <c r="AB66" s="65">
        <v>4467954</v>
      </c>
      <c r="AC66" s="65">
        <v>9810222</v>
      </c>
      <c r="AD66" s="65">
        <v>2478781</v>
      </c>
      <c r="AE66" s="65">
        <v>9292263</v>
      </c>
      <c r="AF66" s="66">
        <v>1024249</v>
      </c>
      <c r="AG66" s="66">
        <v>3770622</v>
      </c>
      <c r="AH66" s="66">
        <v>84465439</v>
      </c>
      <c r="AI66" s="65">
        <v>33290193</v>
      </c>
      <c r="AJ66" s="65">
        <v>14768622</v>
      </c>
      <c r="AK66" s="65">
        <v>18329300</v>
      </c>
      <c r="AL66" s="65">
        <v>192271</v>
      </c>
      <c r="AM66" s="65">
        <v>51175208</v>
      </c>
      <c r="AN66" s="65">
        <v>7382322</v>
      </c>
      <c r="AO66" s="66">
        <v>1872967</v>
      </c>
      <c r="AP66" s="65">
        <v>1544834</v>
      </c>
      <c r="AQ66" s="66">
        <v>4663392</v>
      </c>
      <c r="AR66" s="65">
        <v>8360090</v>
      </c>
      <c r="AS66" s="65">
        <v>3795049</v>
      </c>
      <c r="AT66" s="65">
        <v>2229085</v>
      </c>
      <c r="AU66" s="65">
        <v>4083160</v>
      </c>
      <c r="AV66" s="65">
        <v>1772969</v>
      </c>
      <c r="AW66" s="65">
        <v>11425461</v>
      </c>
      <c r="AX66" s="66">
        <v>2234100</v>
      </c>
      <c r="AY66" s="65">
        <v>1811779</v>
      </c>
      <c r="AZ66" s="67">
        <v>38</v>
      </c>
      <c r="BA66" s="65">
        <v>22100128</v>
      </c>
      <c r="BB66" s="65">
        <v>6798099</v>
      </c>
      <c r="BC66" s="65">
        <v>7010497</v>
      </c>
      <c r="BD66" s="65">
        <v>973576</v>
      </c>
      <c r="BE66" s="65">
        <v>419701</v>
      </c>
      <c r="BF66" s="65">
        <v>6139672</v>
      </c>
      <c r="BG66" s="66">
        <v>758583</v>
      </c>
      <c r="BH66" s="65">
        <v>27441212</v>
      </c>
      <c r="BI66" s="66">
        <v>6567615</v>
      </c>
      <c r="BJ66" s="65">
        <v>2059700</v>
      </c>
      <c r="BK66" s="65">
        <v>2222793</v>
      </c>
      <c r="BL66" s="65">
        <v>14305307</v>
      </c>
      <c r="BM66" s="65">
        <v>704466</v>
      </c>
      <c r="BN66" s="66">
        <v>1581331</v>
      </c>
      <c r="BO66" s="66">
        <v>46043008</v>
      </c>
      <c r="BP66" s="65">
        <v>6572736</v>
      </c>
      <c r="BQ66" s="65">
        <v>6793493</v>
      </c>
      <c r="BR66" s="66">
        <v>31415810</v>
      </c>
      <c r="BS66" s="66">
        <v>1260969</v>
      </c>
      <c r="BT66" s="65">
        <v>13361494</v>
      </c>
      <c r="BU66" s="65">
        <v>10185869</v>
      </c>
      <c r="BV66" s="65">
        <v>3064971</v>
      </c>
      <c r="BW66" s="66">
        <v>110654</v>
      </c>
      <c r="BX66" s="65">
        <v>31643970</v>
      </c>
      <c r="BY66" s="65">
        <v>15788454</v>
      </c>
      <c r="BZ66" s="66">
        <v>16677861</v>
      </c>
      <c r="CA66" s="65">
        <v>14686385</v>
      </c>
      <c r="CB66" s="66">
        <v>1991476</v>
      </c>
      <c r="CC66" s="66">
        <v>1782259</v>
      </c>
      <c r="CD66" s="65">
        <v>23085148</v>
      </c>
      <c r="CE66" s="65">
        <v>12647720</v>
      </c>
      <c r="CF66" s="65">
        <v>4184360</v>
      </c>
      <c r="CG66" s="65">
        <v>6253068</v>
      </c>
      <c r="CH66" s="65">
        <v>5441647</v>
      </c>
      <c r="CI66" s="66">
        <v>1668686</v>
      </c>
      <c r="CJ66" s="66">
        <v>3772961</v>
      </c>
      <c r="CK66" s="65">
        <v>19737560</v>
      </c>
      <c r="CL66" s="65">
        <v>6064220</v>
      </c>
      <c r="CM66" s="65">
        <v>13673340</v>
      </c>
      <c r="CN66" s="65">
        <v>6212113</v>
      </c>
      <c r="CO66" s="65">
        <v>3135148</v>
      </c>
      <c r="CP66" s="65">
        <v>2834725</v>
      </c>
      <c r="CQ66" s="65">
        <v>242240</v>
      </c>
      <c r="CR66" s="67">
        <v>722</v>
      </c>
    </row>
    <row r="67" spans="1:96" s="68" customFormat="1" ht="10.199999999999999" x14ac:dyDescent="0.2">
      <c r="A67" s="64" t="s">
        <v>242</v>
      </c>
      <c r="B67" s="65">
        <v>1069664294</v>
      </c>
      <c r="C67" s="65">
        <v>3226686</v>
      </c>
      <c r="D67" s="65">
        <v>2654127</v>
      </c>
      <c r="E67" s="65">
        <v>332094</v>
      </c>
      <c r="F67" s="65">
        <v>240465</v>
      </c>
      <c r="G67" s="65">
        <v>15651813</v>
      </c>
      <c r="H67" s="66">
        <v>34042977</v>
      </c>
      <c r="I67" s="65">
        <v>9583602</v>
      </c>
      <c r="J67" s="66">
        <v>3941984</v>
      </c>
      <c r="K67" s="65">
        <v>2567871</v>
      </c>
      <c r="L67" s="65">
        <v>3073747</v>
      </c>
      <c r="M67" s="65">
        <v>222907693</v>
      </c>
      <c r="N67" s="65">
        <v>12706513</v>
      </c>
      <c r="O67" s="66">
        <v>6416104</v>
      </c>
      <c r="P67" s="65">
        <v>613253</v>
      </c>
      <c r="Q67" s="66">
        <v>973677</v>
      </c>
      <c r="R67" s="66">
        <v>54809</v>
      </c>
      <c r="S67" s="65">
        <v>1675142</v>
      </c>
      <c r="T67" s="65">
        <v>6470329</v>
      </c>
      <c r="U67" s="65">
        <v>1763145</v>
      </c>
      <c r="V67" s="65">
        <v>16703527</v>
      </c>
      <c r="W67" s="65">
        <v>31091020</v>
      </c>
      <c r="X67" s="66">
        <v>3296073</v>
      </c>
      <c r="Y67" s="66">
        <v>3418541</v>
      </c>
      <c r="Z67" s="66">
        <v>5889329</v>
      </c>
      <c r="AA67" s="65">
        <v>8905222</v>
      </c>
      <c r="AB67" s="65">
        <v>10159575</v>
      </c>
      <c r="AC67" s="65">
        <v>13023890</v>
      </c>
      <c r="AD67" s="65">
        <v>60441999</v>
      </c>
      <c r="AE67" s="65">
        <v>30542078</v>
      </c>
      <c r="AF67" s="66">
        <v>666401</v>
      </c>
      <c r="AG67" s="66">
        <v>8097064</v>
      </c>
      <c r="AH67" s="66">
        <v>56793443</v>
      </c>
      <c r="AI67" s="65">
        <v>27878520</v>
      </c>
      <c r="AJ67" s="65">
        <v>12004583</v>
      </c>
      <c r="AK67" s="65">
        <v>15843521</v>
      </c>
      <c r="AL67" s="65">
        <v>30417</v>
      </c>
      <c r="AM67" s="65">
        <v>28914923</v>
      </c>
      <c r="AN67" s="65">
        <v>4323477</v>
      </c>
      <c r="AO67" s="66">
        <v>633439</v>
      </c>
      <c r="AP67" s="65">
        <v>546019</v>
      </c>
      <c r="AQ67" s="66">
        <v>2465934</v>
      </c>
      <c r="AR67" s="65">
        <v>3255099</v>
      </c>
      <c r="AS67" s="65">
        <v>2403153</v>
      </c>
      <c r="AT67" s="65">
        <v>1130310</v>
      </c>
      <c r="AU67" s="65">
        <v>1677419</v>
      </c>
      <c r="AV67" s="65">
        <v>1622244</v>
      </c>
      <c r="AW67" s="65">
        <v>6434222</v>
      </c>
      <c r="AX67" s="66">
        <v>1469315</v>
      </c>
      <c r="AY67" s="65">
        <v>2954290</v>
      </c>
      <c r="AZ67" s="66">
        <v>0</v>
      </c>
      <c r="BA67" s="65">
        <v>16479640</v>
      </c>
      <c r="BB67" s="65">
        <v>8021350</v>
      </c>
      <c r="BC67" s="65">
        <v>2634448</v>
      </c>
      <c r="BD67" s="65">
        <v>839613</v>
      </c>
      <c r="BE67" s="65">
        <v>1618479</v>
      </c>
      <c r="BF67" s="65">
        <v>2686205</v>
      </c>
      <c r="BG67" s="66">
        <v>679545</v>
      </c>
      <c r="BH67" s="65">
        <v>58605839</v>
      </c>
      <c r="BI67" s="66">
        <v>10539867</v>
      </c>
      <c r="BJ67" s="65">
        <v>4120293</v>
      </c>
      <c r="BK67" s="65">
        <v>7746230</v>
      </c>
      <c r="BL67" s="65">
        <v>33058321</v>
      </c>
      <c r="BM67" s="65">
        <v>1505659</v>
      </c>
      <c r="BN67" s="66">
        <v>1635469</v>
      </c>
      <c r="BO67" s="66">
        <v>356269235</v>
      </c>
      <c r="BP67" s="65">
        <v>213908032</v>
      </c>
      <c r="BQ67" s="65">
        <v>66922123</v>
      </c>
      <c r="BR67" s="66">
        <v>62341799</v>
      </c>
      <c r="BS67" s="66">
        <v>13097281</v>
      </c>
      <c r="BT67" s="65">
        <v>25887966</v>
      </c>
      <c r="BU67" s="65">
        <v>18495710</v>
      </c>
      <c r="BV67" s="65">
        <v>6992410</v>
      </c>
      <c r="BW67" s="66">
        <v>399846</v>
      </c>
      <c r="BX67" s="65">
        <v>14986003</v>
      </c>
      <c r="BY67" s="65">
        <v>213681329</v>
      </c>
      <c r="BZ67" s="66">
        <v>8098266</v>
      </c>
      <c r="CA67" s="65">
        <v>6143841</v>
      </c>
      <c r="CB67" s="66">
        <v>1954424</v>
      </c>
      <c r="CC67" s="66">
        <v>800641</v>
      </c>
      <c r="CD67" s="65">
        <v>11424644</v>
      </c>
      <c r="CE67" s="65">
        <v>3443868</v>
      </c>
      <c r="CF67" s="65">
        <v>2016035</v>
      </c>
      <c r="CG67" s="65">
        <v>5964741</v>
      </c>
      <c r="CH67" s="65">
        <v>3014492</v>
      </c>
      <c r="CI67" s="66">
        <v>696395</v>
      </c>
      <c r="CJ67" s="66">
        <v>2318097</v>
      </c>
      <c r="CK67" s="65">
        <v>15053317</v>
      </c>
      <c r="CL67" s="65">
        <v>9018631</v>
      </c>
      <c r="CM67" s="65">
        <v>6034686</v>
      </c>
      <c r="CN67" s="65">
        <v>3156709</v>
      </c>
      <c r="CO67" s="65">
        <v>1606263</v>
      </c>
      <c r="CP67" s="65">
        <v>1455391</v>
      </c>
      <c r="CQ67" s="65">
        <v>95055</v>
      </c>
      <c r="CR67" s="66">
        <v>0</v>
      </c>
    </row>
    <row r="68" spans="1:96" s="68" customFormat="1" ht="10.199999999999999" x14ac:dyDescent="0.2">
      <c r="A68" s="64" t="s">
        <v>243</v>
      </c>
      <c r="B68" s="65">
        <v>13067133</v>
      </c>
      <c r="C68" s="65">
        <v>43521</v>
      </c>
      <c r="D68" s="65">
        <v>38274</v>
      </c>
      <c r="E68" s="65">
        <v>750</v>
      </c>
      <c r="F68" s="65">
        <v>4497</v>
      </c>
      <c r="G68" s="65">
        <v>102054</v>
      </c>
      <c r="H68" s="66">
        <v>314482</v>
      </c>
      <c r="I68" s="65">
        <v>206483</v>
      </c>
      <c r="J68" s="66">
        <v>48080</v>
      </c>
      <c r="K68" s="65">
        <v>48863</v>
      </c>
      <c r="L68" s="65">
        <v>109540</v>
      </c>
      <c r="M68" s="65">
        <v>6229649</v>
      </c>
      <c r="N68" s="65">
        <v>457711</v>
      </c>
      <c r="O68" s="66">
        <v>305917</v>
      </c>
      <c r="P68" s="65">
        <v>4159</v>
      </c>
      <c r="Q68" s="66">
        <v>19864</v>
      </c>
      <c r="R68" s="66">
        <v>4640</v>
      </c>
      <c r="S68" s="65">
        <v>5073</v>
      </c>
      <c r="T68" s="65">
        <v>96354</v>
      </c>
      <c r="U68" s="65">
        <v>11508</v>
      </c>
      <c r="V68" s="65">
        <v>340577</v>
      </c>
      <c r="W68" s="65">
        <v>3829276</v>
      </c>
      <c r="X68" s="66">
        <v>20575</v>
      </c>
      <c r="Y68" s="66">
        <v>24249</v>
      </c>
      <c r="Z68" s="66">
        <v>26505</v>
      </c>
      <c r="AA68" s="65">
        <v>74109</v>
      </c>
      <c r="AB68" s="65">
        <v>118816</v>
      </c>
      <c r="AC68" s="65">
        <v>267048</v>
      </c>
      <c r="AD68" s="65">
        <v>181296</v>
      </c>
      <c r="AE68" s="65">
        <v>224123</v>
      </c>
      <c r="AF68" s="66">
        <v>6828</v>
      </c>
      <c r="AG68" s="66">
        <v>211022</v>
      </c>
      <c r="AH68" s="66">
        <v>2100151</v>
      </c>
      <c r="AI68" s="65">
        <v>737112</v>
      </c>
      <c r="AJ68" s="65">
        <v>254114</v>
      </c>
      <c r="AK68" s="65">
        <v>482438</v>
      </c>
      <c r="AL68" s="69">
        <v>560</v>
      </c>
      <c r="AM68" s="65">
        <v>1363038</v>
      </c>
      <c r="AN68" s="65">
        <v>28528</v>
      </c>
      <c r="AO68" s="66">
        <v>85111</v>
      </c>
      <c r="AP68" s="65">
        <v>25926</v>
      </c>
      <c r="AQ68" s="66">
        <v>71124</v>
      </c>
      <c r="AR68" s="65">
        <v>323765</v>
      </c>
      <c r="AS68" s="65">
        <v>52332</v>
      </c>
      <c r="AT68" s="65">
        <v>15184</v>
      </c>
      <c r="AU68" s="65">
        <v>118240</v>
      </c>
      <c r="AV68" s="65">
        <v>29315</v>
      </c>
      <c r="AW68" s="65">
        <v>543173</v>
      </c>
      <c r="AX68" s="66">
        <v>22850</v>
      </c>
      <c r="AY68" s="65">
        <v>47490</v>
      </c>
      <c r="AZ68" s="66">
        <v>0</v>
      </c>
      <c r="BA68" s="65">
        <v>238050</v>
      </c>
      <c r="BB68" s="65">
        <v>121928</v>
      </c>
      <c r="BC68" s="65">
        <v>20264</v>
      </c>
      <c r="BD68" s="65">
        <v>1876</v>
      </c>
      <c r="BE68" s="65">
        <v>7118</v>
      </c>
      <c r="BF68" s="65">
        <v>80205</v>
      </c>
      <c r="BG68" s="66">
        <v>6659</v>
      </c>
      <c r="BH68" s="65">
        <v>555879</v>
      </c>
      <c r="BI68" s="66">
        <v>208819</v>
      </c>
      <c r="BJ68" s="65">
        <v>70881</v>
      </c>
      <c r="BK68" s="65">
        <v>43955</v>
      </c>
      <c r="BL68" s="65">
        <v>133892</v>
      </c>
      <c r="BM68" s="65">
        <v>9359</v>
      </c>
      <c r="BN68" s="66">
        <v>88974</v>
      </c>
      <c r="BO68" s="66">
        <v>1731729</v>
      </c>
      <c r="BP68" s="65">
        <v>206924</v>
      </c>
      <c r="BQ68" s="65">
        <v>904953</v>
      </c>
      <c r="BR68" s="66">
        <v>618614</v>
      </c>
      <c r="BS68" s="66">
        <v>1238</v>
      </c>
      <c r="BT68" s="65">
        <v>76808</v>
      </c>
      <c r="BU68" s="65">
        <v>58012</v>
      </c>
      <c r="BV68" s="65">
        <v>16112</v>
      </c>
      <c r="BW68" s="66">
        <v>2684</v>
      </c>
      <c r="BX68" s="65">
        <v>246324</v>
      </c>
      <c r="BY68" s="65">
        <v>601288</v>
      </c>
      <c r="BZ68" s="66">
        <v>75928</v>
      </c>
      <c r="CA68" s="65">
        <v>54454</v>
      </c>
      <c r="CB68" s="66">
        <v>21474</v>
      </c>
      <c r="CC68" s="66">
        <v>28130</v>
      </c>
      <c r="CD68" s="65">
        <v>197638</v>
      </c>
      <c r="CE68" s="65">
        <v>114373</v>
      </c>
      <c r="CF68" s="65">
        <v>26297</v>
      </c>
      <c r="CG68" s="65">
        <v>56968</v>
      </c>
      <c r="CH68" s="65">
        <v>29419</v>
      </c>
      <c r="CI68" s="66">
        <v>15917</v>
      </c>
      <c r="CJ68" s="66">
        <v>13503</v>
      </c>
      <c r="CK68" s="65">
        <v>249303</v>
      </c>
      <c r="CL68" s="65">
        <v>26549</v>
      </c>
      <c r="CM68" s="65">
        <v>222754</v>
      </c>
      <c r="CN68" s="65">
        <v>40295</v>
      </c>
      <c r="CO68" s="65">
        <v>12443</v>
      </c>
      <c r="CP68" s="65">
        <v>25142</v>
      </c>
      <c r="CQ68" s="65">
        <v>2710</v>
      </c>
      <c r="CR68" s="66">
        <v>0</v>
      </c>
    </row>
    <row r="69" spans="1:96" s="68" customFormat="1" ht="10.199999999999999" x14ac:dyDescent="0.2">
      <c r="A69" s="64" t="s">
        <v>244</v>
      </c>
      <c r="B69" s="65">
        <v>191332857</v>
      </c>
      <c r="C69" s="65">
        <v>360102</v>
      </c>
      <c r="D69" s="65">
        <v>315271</v>
      </c>
      <c r="E69" s="65">
        <v>17641</v>
      </c>
      <c r="F69" s="65">
        <v>27190</v>
      </c>
      <c r="G69" s="65">
        <v>7345204</v>
      </c>
      <c r="H69" s="66">
        <v>6501141</v>
      </c>
      <c r="I69" s="65">
        <v>1458734</v>
      </c>
      <c r="J69" s="66">
        <v>494441</v>
      </c>
      <c r="K69" s="65">
        <v>397999</v>
      </c>
      <c r="L69" s="65">
        <v>566294</v>
      </c>
      <c r="M69" s="65">
        <v>56603140</v>
      </c>
      <c r="N69" s="65">
        <v>2793715</v>
      </c>
      <c r="O69" s="66">
        <v>1793579</v>
      </c>
      <c r="P69" s="65">
        <v>185533</v>
      </c>
      <c r="Q69" s="66">
        <v>289323</v>
      </c>
      <c r="R69" s="66">
        <v>29613</v>
      </c>
      <c r="S69" s="65">
        <v>238103</v>
      </c>
      <c r="T69" s="65">
        <v>961025</v>
      </c>
      <c r="U69" s="65">
        <v>559848</v>
      </c>
      <c r="V69" s="65">
        <v>3217966</v>
      </c>
      <c r="W69" s="65">
        <v>10415563</v>
      </c>
      <c r="X69" s="66">
        <v>1098170</v>
      </c>
      <c r="Y69" s="66">
        <v>825058</v>
      </c>
      <c r="Z69" s="66">
        <v>989922</v>
      </c>
      <c r="AA69" s="65">
        <v>2272259</v>
      </c>
      <c r="AB69" s="65">
        <v>2495128</v>
      </c>
      <c r="AC69" s="65">
        <v>9321189</v>
      </c>
      <c r="AD69" s="65">
        <v>6856089</v>
      </c>
      <c r="AE69" s="65">
        <v>9231287</v>
      </c>
      <c r="AF69" s="66">
        <v>261070</v>
      </c>
      <c r="AG69" s="66">
        <v>2768698</v>
      </c>
      <c r="AH69" s="66">
        <v>17611829</v>
      </c>
      <c r="AI69" s="65">
        <v>12018148</v>
      </c>
      <c r="AJ69" s="65">
        <v>6342350</v>
      </c>
      <c r="AK69" s="65">
        <v>5663813</v>
      </c>
      <c r="AL69" s="65">
        <v>11985</v>
      </c>
      <c r="AM69" s="65">
        <v>5593681</v>
      </c>
      <c r="AN69" s="65">
        <v>952805</v>
      </c>
      <c r="AO69" s="66">
        <v>117508</v>
      </c>
      <c r="AP69" s="65">
        <v>150302</v>
      </c>
      <c r="AQ69" s="66">
        <v>241378</v>
      </c>
      <c r="AR69" s="65">
        <v>671888</v>
      </c>
      <c r="AS69" s="65">
        <v>1054521</v>
      </c>
      <c r="AT69" s="65">
        <v>246620</v>
      </c>
      <c r="AU69" s="65">
        <v>531756</v>
      </c>
      <c r="AV69" s="65">
        <v>219073</v>
      </c>
      <c r="AW69" s="65">
        <v>301945</v>
      </c>
      <c r="AX69" s="66">
        <v>257872</v>
      </c>
      <c r="AY69" s="65">
        <v>848013</v>
      </c>
      <c r="AZ69" s="66">
        <v>0</v>
      </c>
      <c r="BA69" s="65">
        <v>2757631</v>
      </c>
      <c r="BB69" s="65">
        <v>1251496</v>
      </c>
      <c r="BC69" s="65">
        <v>248538</v>
      </c>
      <c r="BD69" s="65">
        <v>151191</v>
      </c>
      <c r="BE69" s="65">
        <v>323529</v>
      </c>
      <c r="BF69" s="65">
        <v>610294</v>
      </c>
      <c r="BG69" s="66">
        <v>172584</v>
      </c>
      <c r="BH69" s="65">
        <v>39284681</v>
      </c>
      <c r="BI69" s="66">
        <v>7824674</v>
      </c>
      <c r="BJ69" s="65">
        <v>8567869</v>
      </c>
      <c r="BK69" s="65">
        <v>8682919</v>
      </c>
      <c r="BL69" s="65">
        <v>12530618</v>
      </c>
      <c r="BM69" s="65">
        <v>722587</v>
      </c>
      <c r="BN69" s="66">
        <v>956014</v>
      </c>
      <c r="BO69" s="66">
        <v>22960011</v>
      </c>
      <c r="BP69" s="65">
        <v>3123835</v>
      </c>
      <c r="BQ69" s="65">
        <v>3704771</v>
      </c>
      <c r="BR69" s="66">
        <v>15789111</v>
      </c>
      <c r="BS69" s="66">
        <v>342294</v>
      </c>
      <c r="BT69" s="65">
        <v>2840805</v>
      </c>
      <c r="BU69" s="65">
        <v>1777775</v>
      </c>
      <c r="BV69" s="65">
        <v>874733</v>
      </c>
      <c r="BW69" s="66">
        <v>188297</v>
      </c>
      <c r="BX69" s="65">
        <v>8780777</v>
      </c>
      <c r="BY69" s="65">
        <v>11333774</v>
      </c>
      <c r="BZ69" s="66">
        <v>4466582</v>
      </c>
      <c r="CA69" s="65">
        <v>3440040</v>
      </c>
      <c r="CB69" s="66">
        <v>1026542</v>
      </c>
      <c r="CC69" s="66">
        <v>498805</v>
      </c>
      <c r="CD69" s="65">
        <v>3038731</v>
      </c>
      <c r="CE69" s="65">
        <v>1409570</v>
      </c>
      <c r="CF69" s="65">
        <v>861141</v>
      </c>
      <c r="CG69" s="65">
        <v>768019</v>
      </c>
      <c r="CH69" s="65">
        <v>1047677</v>
      </c>
      <c r="CI69" s="66">
        <v>665536</v>
      </c>
      <c r="CJ69" s="66">
        <v>382141</v>
      </c>
      <c r="CK69" s="65">
        <v>3006360</v>
      </c>
      <c r="CL69" s="65">
        <v>879982</v>
      </c>
      <c r="CM69" s="65">
        <v>2126378</v>
      </c>
      <c r="CN69" s="65">
        <v>1420922</v>
      </c>
      <c r="CO69" s="65">
        <v>511032</v>
      </c>
      <c r="CP69" s="65">
        <v>898593</v>
      </c>
      <c r="CQ69" s="65">
        <v>11297</v>
      </c>
      <c r="CR69" s="67">
        <v>15951</v>
      </c>
    </row>
    <row r="70" spans="1:96" s="68" customFormat="1" ht="10.199999999999999" x14ac:dyDescent="0.2">
      <c r="A70" s="64" t="s">
        <v>245</v>
      </c>
      <c r="B70" s="65">
        <v>712240224</v>
      </c>
      <c r="C70" s="65">
        <v>8164354</v>
      </c>
      <c r="D70" s="65">
        <v>6565361</v>
      </c>
      <c r="E70" s="65">
        <v>645910</v>
      </c>
      <c r="F70" s="65">
        <v>953083</v>
      </c>
      <c r="G70" s="65">
        <v>32621743</v>
      </c>
      <c r="H70" s="66">
        <v>64974397</v>
      </c>
      <c r="I70" s="65">
        <v>19207244</v>
      </c>
      <c r="J70" s="66">
        <v>2909413</v>
      </c>
      <c r="K70" s="65">
        <v>7126167</v>
      </c>
      <c r="L70" s="65">
        <v>9171664</v>
      </c>
      <c r="M70" s="65">
        <v>195734423</v>
      </c>
      <c r="N70" s="65">
        <v>13269140</v>
      </c>
      <c r="O70" s="66">
        <v>4888220</v>
      </c>
      <c r="P70" s="65">
        <v>973365</v>
      </c>
      <c r="Q70" s="66">
        <v>616022</v>
      </c>
      <c r="R70" s="66">
        <v>123698</v>
      </c>
      <c r="S70" s="65">
        <v>2464288</v>
      </c>
      <c r="T70" s="65">
        <v>8091329</v>
      </c>
      <c r="U70" s="65">
        <v>2894686</v>
      </c>
      <c r="V70" s="65">
        <v>18286984</v>
      </c>
      <c r="W70" s="65">
        <v>25921419</v>
      </c>
      <c r="X70" s="66">
        <v>5824871</v>
      </c>
      <c r="Y70" s="66">
        <v>6105420</v>
      </c>
      <c r="Z70" s="66">
        <v>7544801</v>
      </c>
      <c r="AA70" s="65">
        <v>7851673</v>
      </c>
      <c r="AB70" s="65">
        <v>11686058</v>
      </c>
      <c r="AC70" s="65">
        <v>21931659</v>
      </c>
      <c r="AD70" s="65">
        <v>11797871</v>
      </c>
      <c r="AE70" s="65">
        <v>37185886</v>
      </c>
      <c r="AF70" s="66">
        <v>1098195</v>
      </c>
      <c r="AG70" s="66">
        <v>7178839</v>
      </c>
      <c r="AH70" s="66">
        <v>95660942</v>
      </c>
      <c r="AI70" s="65">
        <v>45197940</v>
      </c>
      <c r="AJ70" s="65">
        <v>25048742</v>
      </c>
      <c r="AK70" s="65">
        <v>20103157</v>
      </c>
      <c r="AL70" s="65">
        <v>46041</v>
      </c>
      <c r="AM70" s="65">
        <v>50463001</v>
      </c>
      <c r="AN70" s="65">
        <v>4465726</v>
      </c>
      <c r="AO70" s="66">
        <v>1117461</v>
      </c>
      <c r="AP70" s="65">
        <v>970721</v>
      </c>
      <c r="AQ70" s="66">
        <v>4269914</v>
      </c>
      <c r="AR70" s="65">
        <v>9835806</v>
      </c>
      <c r="AS70" s="65">
        <v>3806234</v>
      </c>
      <c r="AT70" s="65">
        <v>2986880</v>
      </c>
      <c r="AU70" s="65">
        <v>4823880</v>
      </c>
      <c r="AV70" s="65">
        <v>1675135</v>
      </c>
      <c r="AW70" s="65">
        <v>12603970</v>
      </c>
      <c r="AX70" s="66">
        <v>1744990</v>
      </c>
      <c r="AY70" s="65">
        <v>2162283</v>
      </c>
      <c r="AZ70" s="66">
        <v>0</v>
      </c>
      <c r="BA70" s="65">
        <v>39037014</v>
      </c>
      <c r="BB70" s="65">
        <v>19393200</v>
      </c>
      <c r="BC70" s="65">
        <v>9057495</v>
      </c>
      <c r="BD70" s="65">
        <v>1322885</v>
      </c>
      <c r="BE70" s="65">
        <v>1276009</v>
      </c>
      <c r="BF70" s="65">
        <v>6862877</v>
      </c>
      <c r="BG70" s="66">
        <v>1124547</v>
      </c>
      <c r="BH70" s="65">
        <v>78727200</v>
      </c>
      <c r="BI70" s="66">
        <v>7755806</v>
      </c>
      <c r="BJ70" s="65">
        <v>6849018</v>
      </c>
      <c r="BK70" s="65">
        <v>4460503</v>
      </c>
      <c r="BL70" s="65">
        <v>55515375</v>
      </c>
      <c r="BM70" s="65">
        <v>1980784</v>
      </c>
      <c r="BN70" s="66">
        <v>2165714</v>
      </c>
      <c r="BO70" s="66">
        <v>36171841</v>
      </c>
      <c r="BP70" s="65">
        <v>13276945</v>
      </c>
      <c r="BQ70" s="65">
        <v>4775058</v>
      </c>
      <c r="BR70" s="66">
        <v>17493853</v>
      </c>
      <c r="BS70" s="66">
        <v>625984</v>
      </c>
      <c r="BT70" s="65">
        <v>44981803</v>
      </c>
      <c r="BU70" s="65">
        <v>15103805</v>
      </c>
      <c r="BV70" s="65">
        <v>29718766</v>
      </c>
      <c r="BW70" s="66">
        <v>159232</v>
      </c>
      <c r="BX70" s="65">
        <v>16187491</v>
      </c>
      <c r="BY70" s="65">
        <v>31207861</v>
      </c>
      <c r="BZ70" s="66">
        <v>9835228</v>
      </c>
      <c r="CA70" s="65">
        <v>5551597</v>
      </c>
      <c r="CB70" s="66">
        <v>4283631</v>
      </c>
      <c r="CC70" s="66">
        <v>1657872</v>
      </c>
      <c r="CD70" s="65">
        <v>11616818</v>
      </c>
      <c r="CE70" s="65">
        <v>5362087</v>
      </c>
      <c r="CF70" s="65">
        <v>2428488</v>
      </c>
      <c r="CG70" s="65">
        <v>3826244</v>
      </c>
      <c r="CH70" s="65">
        <v>4802916</v>
      </c>
      <c r="CI70" s="66">
        <v>1264958</v>
      </c>
      <c r="CJ70" s="66">
        <v>3537958</v>
      </c>
      <c r="CK70" s="65">
        <v>17005704</v>
      </c>
      <c r="CL70" s="65">
        <v>6596068</v>
      </c>
      <c r="CM70" s="65">
        <v>10409636</v>
      </c>
      <c r="CN70" s="65">
        <v>4645373</v>
      </c>
      <c r="CO70" s="65">
        <v>1965278</v>
      </c>
      <c r="CP70" s="65">
        <v>2488136</v>
      </c>
      <c r="CQ70" s="65">
        <v>191959</v>
      </c>
      <c r="CR70" s="66">
        <v>0</v>
      </c>
    </row>
    <row r="71" spans="1:96" s="68" customFormat="1" ht="10.199999999999999" x14ac:dyDescent="0.2">
      <c r="A71" s="64" t="s">
        <v>246</v>
      </c>
      <c r="B71" s="65">
        <v>21521952</v>
      </c>
      <c r="C71" s="65">
        <v>52738</v>
      </c>
      <c r="D71" s="65">
        <v>27252</v>
      </c>
      <c r="E71" s="65">
        <v>25236</v>
      </c>
      <c r="F71" s="69">
        <v>250</v>
      </c>
      <c r="G71" s="65">
        <v>14590495</v>
      </c>
      <c r="H71" s="66">
        <v>323136</v>
      </c>
      <c r="I71" s="65">
        <v>137906</v>
      </c>
      <c r="J71" s="66">
        <v>6248</v>
      </c>
      <c r="K71" s="65">
        <v>114420</v>
      </c>
      <c r="L71" s="65">
        <v>17238</v>
      </c>
      <c r="M71" s="65">
        <v>4935257</v>
      </c>
      <c r="N71" s="69">
        <v>20282</v>
      </c>
      <c r="O71" s="67">
        <v>21353</v>
      </c>
      <c r="P71" s="65">
        <v>575</v>
      </c>
      <c r="Q71" s="66">
        <v>0</v>
      </c>
      <c r="R71" s="66">
        <v>0</v>
      </c>
      <c r="S71" s="65">
        <v>79066</v>
      </c>
      <c r="T71" s="65">
        <v>48512</v>
      </c>
      <c r="U71" s="69">
        <v>80</v>
      </c>
      <c r="V71" s="65">
        <v>3775195</v>
      </c>
      <c r="W71" s="65">
        <v>406901</v>
      </c>
      <c r="X71" s="66">
        <v>1520</v>
      </c>
      <c r="Y71" s="66">
        <v>287348</v>
      </c>
      <c r="Z71" s="66">
        <v>237453</v>
      </c>
      <c r="AA71" s="69">
        <v>16696</v>
      </c>
      <c r="AB71" s="69">
        <v>36052</v>
      </c>
      <c r="AC71" s="69">
        <v>52</v>
      </c>
      <c r="AD71" s="65">
        <v>1856</v>
      </c>
      <c r="AE71" s="65">
        <v>1691</v>
      </c>
      <c r="AF71" s="66">
        <v>0</v>
      </c>
      <c r="AG71" s="67">
        <v>624</v>
      </c>
      <c r="AH71" s="66">
        <v>917280</v>
      </c>
      <c r="AI71" s="65">
        <v>904725</v>
      </c>
      <c r="AJ71" s="65">
        <v>42790</v>
      </c>
      <c r="AK71" s="65">
        <v>861935</v>
      </c>
      <c r="AL71" s="65">
        <v>0</v>
      </c>
      <c r="AM71" s="65">
        <v>12555</v>
      </c>
      <c r="AN71" s="69">
        <v>954</v>
      </c>
      <c r="AO71" s="67">
        <v>1766</v>
      </c>
      <c r="AP71" s="65">
        <v>0</v>
      </c>
      <c r="AQ71" s="67">
        <v>3233</v>
      </c>
      <c r="AR71" s="65">
        <v>9</v>
      </c>
      <c r="AS71" s="69">
        <v>109</v>
      </c>
      <c r="AT71" s="65">
        <v>2470</v>
      </c>
      <c r="AU71" s="65">
        <v>0</v>
      </c>
      <c r="AV71" s="69">
        <v>4007</v>
      </c>
      <c r="AW71" s="65">
        <v>3</v>
      </c>
      <c r="AX71" s="66" t="s">
        <v>291</v>
      </c>
      <c r="AY71" s="65">
        <v>4</v>
      </c>
      <c r="AZ71" s="66">
        <v>0</v>
      </c>
      <c r="BA71" s="65">
        <v>103721</v>
      </c>
      <c r="BB71" s="69">
        <v>7708</v>
      </c>
      <c r="BC71" s="69">
        <v>2986</v>
      </c>
      <c r="BD71" s="69">
        <v>642</v>
      </c>
      <c r="BE71" s="69">
        <v>92282</v>
      </c>
      <c r="BF71" s="65">
        <v>1</v>
      </c>
      <c r="BG71" s="66">
        <v>102</v>
      </c>
      <c r="BH71" s="65">
        <v>3233</v>
      </c>
      <c r="BI71" s="66">
        <v>41</v>
      </c>
      <c r="BJ71" s="65">
        <v>0</v>
      </c>
      <c r="BK71" s="65">
        <v>66</v>
      </c>
      <c r="BL71" s="65">
        <v>3125</v>
      </c>
      <c r="BM71" s="65">
        <v>0</v>
      </c>
      <c r="BN71" s="66">
        <v>0</v>
      </c>
      <c r="BO71" s="66">
        <v>222164</v>
      </c>
      <c r="BP71" s="65">
        <v>3199</v>
      </c>
      <c r="BQ71" s="65">
        <v>46417</v>
      </c>
      <c r="BR71" s="66">
        <v>114468</v>
      </c>
      <c r="BS71" s="66">
        <v>58080</v>
      </c>
      <c r="BT71" s="65">
        <v>39040</v>
      </c>
      <c r="BU71" s="65">
        <v>38497</v>
      </c>
      <c r="BV71" s="69">
        <v>543</v>
      </c>
      <c r="BW71" s="66">
        <v>0</v>
      </c>
      <c r="BX71" s="65">
        <v>35124</v>
      </c>
      <c r="BY71" s="65">
        <v>61781</v>
      </c>
      <c r="BZ71" s="66">
        <v>87268</v>
      </c>
      <c r="CA71" s="65">
        <v>12434</v>
      </c>
      <c r="CB71" s="67">
        <v>74834</v>
      </c>
      <c r="CC71" s="66">
        <v>0</v>
      </c>
      <c r="CD71" s="65">
        <v>1</v>
      </c>
      <c r="CE71" s="65">
        <v>1</v>
      </c>
      <c r="CF71" s="65">
        <v>0</v>
      </c>
      <c r="CG71" s="65">
        <v>0</v>
      </c>
      <c r="CH71" s="69">
        <v>439</v>
      </c>
      <c r="CI71" s="66">
        <v>123</v>
      </c>
      <c r="CJ71" s="67">
        <v>316</v>
      </c>
      <c r="CK71" s="69">
        <v>8864</v>
      </c>
      <c r="CL71" s="65">
        <v>174</v>
      </c>
      <c r="CM71" s="69">
        <v>8690</v>
      </c>
      <c r="CN71" s="65">
        <v>3506</v>
      </c>
      <c r="CO71" s="69">
        <v>240</v>
      </c>
      <c r="CP71" s="69">
        <v>2927</v>
      </c>
      <c r="CQ71" s="69">
        <v>340</v>
      </c>
      <c r="CR71" s="66">
        <v>0</v>
      </c>
    </row>
    <row r="72" spans="1:96" s="68" customFormat="1" ht="10.199999999999999" x14ac:dyDescent="0.2">
      <c r="A72" s="64" t="s">
        <v>247</v>
      </c>
      <c r="B72" s="65">
        <v>241468941</v>
      </c>
      <c r="C72" s="65">
        <v>435486</v>
      </c>
      <c r="D72" s="65">
        <v>328199</v>
      </c>
      <c r="E72" s="65">
        <v>8538</v>
      </c>
      <c r="F72" s="65">
        <v>98749</v>
      </c>
      <c r="G72" s="65">
        <v>235147</v>
      </c>
      <c r="H72" s="66">
        <v>593035</v>
      </c>
      <c r="I72" s="65">
        <v>4002668</v>
      </c>
      <c r="J72" s="66">
        <v>1162704</v>
      </c>
      <c r="K72" s="65">
        <v>388652</v>
      </c>
      <c r="L72" s="65">
        <v>2451312</v>
      </c>
      <c r="M72" s="65">
        <v>75397110</v>
      </c>
      <c r="N72" s="65">
        <v>16018525</v>
      </c>
      <c r="O72" s="66">
        <v>6945990</v>
      </c>
      <c r="P72" s="65">
        <v>139071</v>
      </c>
      <c r="Q72" s="66">
        <v>1145520</v>
      </c>
      <c r="R72" s="66">
        <v>229313</v>
      </c>
      <c r="S72" s="65">
        <v>384592</v>
      </c>
      <c r="T72" s="65">
        <v>759990</v>
      </c>
      <c r="U72" s="65">
        <v>663385</v>
      </c>
      <c r="V72" s="65">
        <v>1044078</v>
      </c>
      <c r="W72" s="65">
        <v>22361117</v>
      </c>
      <c r="X72" s="66">
        <v>957293</v>
      </c>
      <c r="Y72" s="66">
        <v>406794</v>
      </c>
      <c r="Z72" s="66">
        <v>168368</v>
      </c>
      <c r="AA72" s="65">
        <v>1617045</v>
      </c>
      <c r="AB72" s="65">
        <v>1849884</v>
      </c>
      <c r="AC72" s="65">
        <v>7125404</v>
      </c>
      <c r="AD72" s="65">
        <v>3150386</v>
      </c>
      <c r="AE72" s="65">
        <v>6726188</v>
      </c>
      <c r="AF72" s="66">
        <v>900335</v>
      </c>
      <c r="AG72" s="66">
        <v>2803831</v>
      </c>
      <c r="AH72" s="66">
        <v>66271467</v>
      </c>
      <c r="AI72" s="65">
        <v>25670364</v>
      </c>
      <c r="AJ72" s="65">
        <v>14393349</v>
      </c>
      <c r="AK72" s="65">
        <v>11261700</v>
      </c>
      <c r="AL72" s="65">
        <v>15316</v>
      </c>
      <c r="AM72" s="65">
        <v>40601103</v>
      </c>
      <c r="AN72" s="65">
        <v>6344544</v>
      </c>
      <c r="AO72" s="66">
        <v>3023231</v>
      </c>
      <c r="AP72" s="65">
        <v>1763972</v>
      </c>
      <c r="AQ72" s="66">
        <v>2749760</v>
      </c>
      <c r="AR72" s="65">
        <v>3622893</v>
      </c>
      <c r="AS72" s="65">
        <v>2487717</v>
      </c>
      <c r="AT72" s="65">
        <v>293743</v>
      </c>
      <c r="AU72" s="65">
        <v>3898730</v>
      </c>
      <c r="AV72" s="65">
        <v>1970965</v>
      </c>
      <c r="AW72" s="65">
        <v>8049726</v>
      </c>
      <c r="AX72" s="66">
        <v>1915513</v>
      </c>
      <c r="AY72" s="65">
        <v>4480308</v>
      </c>
      <c r="AZ72" s="66">
        <v>0</v>
      </c>
      <c r="BA72" s="65">
        <v>2582765</v>
      </c>
      <c r="BB72" s="65">
        <v>1189096</v>
      </c>
      <c r="BC72" s="65">
        <v>477728</v>
      </c>
      <c r="BD72" s="65">
        <v>125018</v>
      </c>
      <c r="BE72" s="69">
        <v>3470</v>
      </c>
      <c r="BF72" s="65">
        <v>726466</v>
      </c>
      <c r="BG72" s="66">
        <v>60988</v>
      </c>
      <c r="BH72" s="65">
        <v>26210165</v>
      </c>
      <c r="BI72" s="66">
        <v>7607024</v>
      </c>
      <c r="BJ72" s="65">
        <v>3413132</v>
      </c>
      <c r="BK72" s="65">
        <v>3049870</v>
      </c>
      <c r="BL72" s="65">
        <v>10376120</v>
      </c>
      <c r="BM72" s="65">
        <v>337156</v>
      </c>
      <c r="BN72" s="66">
        <v>1426863</v>
      </c>
      <c r="BO72" s="66">
        <v>16155489</v>
      </c>
      <c r="BP72" s="65">
        <v>5227197</v>
      </c>
      <c r="BQ72" s="65">
        <v>2121689</v>
      </c>
      <c r="BR72" s="66">
        <v>8780915</v>
      </c>
      <c r="BS72" s="66">
        <v>25689</v>
      </c>
      <c r="BT72" s="65">
        <v>4036228</v>
      </c>
      <c r="BU72" s="65">
        <v>2591870</v>
      </c>
      <c r="BV72" s="65">
        <v>1283123</v>
      </c>
      <c r="BW72" s="66">
        <v>161235</v>
      </c>
      <c r="BX72" s="65">
        <v>10172671</v>
      </c>
      <c r="BY72" s="65">
        <v>8015815</v>
      </c>
      <c r="BZ72" s="66">
        <v>5112776</v>
      </c>
      <c r="CA72" s="65">
        <v>4815277</v>
      </c>
      <c r="CB72" s="66">
        <v>297499</v>
      </c>
      <c r="CC72" s="66">
        <v>3254127</v>
      </c>
      <c r="CD72" s="65">
        <v>3960819</v>
      </c>
      <c r="CE72" s="65">
        <v>2949466</v>
      </c>
      <c r="CF72" s="65">
        <v>525481</v>
      </c>
      <c r="CG72" s="65">
        <v>485872</v>
      </c>
      <c r="CH72" s="65">
        <v>2156248</v>
      </c>
      <c r="CI72" s="66">
        <v>1051156</v>
      </c>
      <c r="CJ72" s="66">
        <v>1105092</v>
      </c>
      <c r="CK72" s="65">
        <v>10254230</v>
      </c>
      <c r="CL72" s="65">
        <v>2517428</v>
      </c>
      <c r="CM72" s="65">
        <v>7736802</v>
      </c>
      <c r="CN72" s="65">
        <v>2622696</v>
      </c>
      <c r="CO72" s="65">
        <v>1278697</v>
      </c>
      <c r="CP72" s="65">
        <v>1198509</v>
      </c>
      <c r="CQ72" s="65">
        <v>145490</v>
      </c>
      <c r="CR72" s="66">
        <v>0</v>
      </c>
    </row>
    <row r="73" spans="1:96" s="68" customFormat="1" ht="10.199999999999999" x14ac:dyDescent="0.2">
      <c r="A73" s="64" t="s">
        <v>292</v>
      </c>
      <c r="B73" s="65">
        <v>166270002</v>
      </c>
      <c r="C73" s="65">
        <v>253368</v>
      </c>
      <c r="D73" s="65">
        <v>189095</v>
      </c>
      <c r="E73" s="65">
        <v>19341</v>
      </c>
      <c r="F73" s="65">
        <v>44933</v>
      </c>
      <c r="G73" s="65">
        <v>2376963</v>
      </c>
      <c r="H73" s="66">
        <v>7653625</v>
      </c>
      <c r="I73" s="65">
        <v>4062420</v>
      </c>
      <c r="J73" s="66">
        <v>904508</v>
      </c>
      <c r="K73" s="65">
        <v>759113</v>
      </c>
      <c r="L73" s="65">
        <v>2398799</v>
      </c>
      <c r="M73" s="65">
        <v>63027461</v>
      </c>
      <c r="N73" s="65">
        <v>4015906</v>
      </c>
      <c r="O73" s="66">
        <v>1492676</v>
      </c>
      <c r="P73" s="65">
        <v>190550</v>
      </c>
      <c r="Q73" s="66">
        <v>374668</v>
      </c>
      <c r="R73" s="66">
        <v>23798</v>
      </c>
      <c r="S73" s="65">
        <v>484154</v>
      </c>
      <c r="T73" s="65">
        <v>2583144</v>
      </c>
      <c r="U73" s="65">
        <v>289277</v>
      </c>
      <c r="V73" s="65">
        <v>3875702</v>
      </c>
      <c r="W73" s="65">
        <v>12328587</v>
      </c>
      <c r="X73" s="66">
        <v>1485563</v>
      </c>
      <c r="Y73" s="66">
        <v>971031</v>
      </c>
      <c r="Z73" s="66">
        <v>1249210</v>
      </c>
      <c r="AA73" s="65">
        <v>2300886</v>
      </c>
      <c r="AB73" s="65">
        <v>4168238</v>
      </c>
      <c r="AC73" s="65">
        <v>4603645</v>
      </c>
      <c r="AD73" s="65">
        <v>1883401</v>
      </c>
      <c r="AE73" s="65">
        <v>18697273</v>
      </c>
      <c r="AF73" s="66">
        <v>280709</v>
      </c>
      <c r="AG73" s="66">
        <v>1729040</v>
      </c>
      <c r="AH73" s="66">
        <v>16844442</v>
      </c>
      <c r="AI73" s="65">
        <v>8626023</v>
      </c>
      <c r="AJ73" s="65">
        <v>4005372</v>
      </c>
      <c r="AK73" s="65">
        <v>4573395</v>
      </c>
      <c r="AL73" s="65">
        <v>47256</v>
      </c>
      <c r="AM73" s="65">
        <v>8218420</v>
      </c>
      <c r="AN73" s="65">
        <v>418414</v>
      </c>
      <c r="AO73" s="66">
        <v>79515</v>
      </c>
      <c r="AP73" s="65">
        <v>138917</v>
      </c>
      <c r="AQ73" s="66">
        <v>477658</v>
      </c>
      <c r="AR73" s="65">
        <v>1883469</v>
      </c>
      <c r="AS73" s="65">
        <v>742229</v>
      </c>
      <c r="AT73" s="65">
        <v>89106</v>
      </c>
      <c r="AU73" s="65">
        <v>570078</v>
      </c>
      <c r="AV73" s="65">
        <v>142373</v>
      </c>
      <c r="AW73" s="65">
        <v>3180576</v>
      </c>
      <c r="AX73" s="66">
        <v>122857</v>
      </c>
      <c r="AY73" s="65">
        <v>373228</v>
      </c>
      <c r="AZ73" s="66">
        <v>0</v>
      </c>
      <c r="BA73" s="65">
        <v>8133756</v>
      </c>
      <c r="BB73" s="65">
        <v>3778886</v>
      </c>
      <c r="BC73" s="65">
        <v>736873</v>
      </c>
      <c r="BD73" s="65">
        <v>79386</v>
      </c>
      <c r="BE73" s="65">
        <v>53291</v>
      </c>
      <c r="BF73" s="65">
        <v>3399286</v>
      </c>
      <c r="BG73" s="66">
        <v>86033</v>
      </c>
      <c r="BH73" s="65">
        <v>6730003</v>
      </c>
      <c r="BI73" s="66">
        <v>1567039</v>
      </c>
      <c r="BJ73" s="65">
        <v>570119</v>
      </c>
      <c r="BK73" s="65">
        <v>830577</v>
      </c>
      <c r="BL73" s="65">
        <v>3310263</v>
      </c>
      <c r="BM73" s="65">
        <v>137207</v>
      </c>
      <c r="BN73" s="66">
        <v>314796</v>
      </c>
      <c r="BO73" s="66">
        <v>16701198</v>
      </c>
      <c r="BP73" s="65">
        <v>2199626</v>
      </c>
      <c r="BQ73" s="65">
        <v>3198332</v>
      </c>
      <c r="BR73" s="66">
        <v>11290612</v>
      </c>
      <c r="BS73" s="66">
        <v>12628</v>
      </c>
      <c r="BT73" s="65">
        <v>1356901</v>
      </c>
      <c r="BU73" s="65">
        <v>872663</v>
      </c>
      <c r="BV73" s="65">
        <v>467900</v>
      </c>
      <c r="BW73" s="66">
        <v>16338</v>
      </c>
      <c r="BX73" s="65">
        <v>11239822</v>
      </c>
      <c r="BY73" s="65">
        <v>11811693</v>
      </c>
      <c r="BZ73" s="66">
        <v>1711007</v>
      </c>
      <c r="CA73" s="65">
        <v>1432535</v>
      </c>
      <c r="CB73" s="66">
        <v>278472</v>
      </c>
      <c r="CC73" s="66">
        <v>223202</v>
      </c>
      <c r="CD73" s="65">
        <v>11802073</v>
      </c>
      <c r="CE73" s="65">
        <v>10840338</v>
      </c>
      <c r="CF73" s="65">
        <v>414153</v>
      </c>
      <c r="CG73" s="65">
        <v>547582</v>
      </c>
      <c r="CH73" s="65">
        <v>708019</v>
      </c>
      <c r="CI73" s="66">
        <v>597548</v>
      </c>
      <c r="CJ73" s="66">
        <v>110471</v>
      </c>
      <c r="CK73" s="65">
        <v>1035749</v>
      </c>
      <c r="CL73" s="65">
        <v>389627</v>
      </c>
      <c r="CM73" s="65">
        <v>646122</v>
      </c>
      <c r="CN73" s="65">
        <v>598299</v>
      </c>
      <c r="CO73" s="65">
        <v>231507</v>
      </c>
      <c r="CP73" s="65">
        <v>348851</v>
      </c>
      <c r="CQ73" s="65">
        <v>17941</v>
      </c>
      <c r="CR73" s="66">
        <v>0</v>
      </c>
    </row>
    <row r="74" spans="1:96" s="68" customFormat="1" ht="10.199999999999999" x14ac:dyDescent="0.2">
      <c r="A74" s="64" t="s">
        <v>248</v>
      </c>
      <c r="B74" s="65">
        <v>336333981</v>
      </c>
      <c r="C74" s="65">
        <v>1438035</v>
      </c>
      <c r="D74" s="65">
        <v>1069034</v>
      </c>
      <c r="E74" s="65">
        <v>141570</v>
      </c>
      <c r="F74" s="65">
        <v>227431</v>
      </c>
      <c r="G74" s="65">
        <v>4536737</v>
      </c>
      <c r="H74" s="66">
        <v>7977892</v>
      </c>
      <c r="I74" s="65">
        <v>14529237</v>
      </c>
      <c r="J74" s="66">
        <v>2841388</v>
      </c>
      <c r="K74" s="65">
        <v>2124434</v>
      </c>
      <c r="L74" s="65">
        <v>9563415</v>
      </c>
      <c r="M74" s="65">
        <v>108173781</v>
      </c>
      <c r="N74" s="65">
        <v>6204040</v>
      </c>
      <c r="O74" s="66">
        <v>2643860</v>
      </c>
      <c r="P74" s="65">
        <v>453994</v>
      </c>
      <c r="Q74" s="66">
        <v>510275</v>
      </c>
      <c r="R74" s="66">
        <v>84587</v>
      </c>
      <c r="S74" s="65">
        <v>949839</v>
      </c>
      <c r="T74" s="65">
        <v>3750120</v>
      </c>
      <c r="U74" s="65">
        <v>1425363</v>
      </c>
      <c r="V74" s="65">
        <v>4051044</v>
      </c>
      <c r="W74" s="65">
        <v>15322356</v>
      </c>
      <c r="X74" s="66">
        <v>3372702</v>
      </c>
      <c r="Y74" s="66">
        <v>2045670</v>
      </c>
      <c r="Z74" s="66">
        <v>3145047</v>
      </c>
      <c r="AA74" s="65">
        <v>5412845</v>
      </c>
      <c r="AB74" s="65">
        <v>7679370</v>
      </c>
      <c r="AC74" s="65">
        <v>11614011</v>
      </c>
      <c r="AD74" s="65">
        <v>5139454</v>
      </c>
      <c r="AE74" s="65">
        <v>27454650</v>
      </c>
      <c r="AF74" s="66">
        <v>1044906</v>
      </c>
      <c r="AG74" s="66">
        <v>5869647</v>
      </c>
      <c r="AH74" s="66">
        <v>47687979</v>
      </c>
      <c r="AI74" s="65">
        <v>21071527</v>
      </c>
      <c r="AJ74" s="65">
        <v>11021841</v>
      </c>
      <c r="AK74" s="65">
        <v>9922607</v>
      </c>
      <c r="AL74" s="65">
        <v>127079</v>
      </c>
      <c r="AM74" s="65">
        <v>26616452</v>
      </c>
      <c r="AN74" s="65">
        <v>3475983</v>
      </c>
      <c r="AO74" s="66">
        <v>717004</v>
      </c>
      <c r="AP74" s="65">
        <v>716650</v>
      </c>
      <c r="AQ74" s="66">
        <v>2423326</v>
      </c>
      <c r="AR74" s="65">
        <v>5922876</v>
      </c>
      <c r="AS74" s="65">
        <v>1855284</v>
      </c>
      <c r="AT74" s="65">
        <v>429666</v>
      </c>
      <c r="AU74" s="65">
        <v>2134780</v>
      </c>
      <c r="AV74" s="65">
        <v>597773</v>
      </c>
      <c r="AW74" s="65">
        <v>5919145</v>
      </c>
      <c r="AX74" s="66">
        <v>1072113</v>
      </c>
      <c r="AY74" s="65">
        <v>1351853</v>
      </c>
      <c r="AZ74" s="66">
        <v>0</v>
      </c>
      <c r="BA74" s="65">
        <v>21112628</v>
      </c>
      <c r="BB74" s="65">
        <v>7416655</v>
      </c>
      <c r="BC74" s="65">
        <v>4878784</v>
      </c>
      <c r="BD74" s="65">
        <v>477711</v>
      </c>
      <c r="BE74" s="65">
        <v>112197</v>
      </c>
      <c r="BF74" s="65">
        <v>7756228</v>
      </c>
      <c r="BG74" s="66">
        <v>471053</v>
      </c>
      <c r="BH74" s="65">
        <v>24147973</v>
      </c>
      <c r="BI74" s="66">
        <v>6905201</v>
      </c>
      <c r="BJ74" s="65">
        <v>866025</v>
      </c>
      <c r="BK74" s="65">
        <v>2272407</v>
      </c>
      <c r="BL74" s="65">
        <v>12506933</v>
      </c>
      <c r="BM74" s="65">
        <v>573233</v>
      </c>
      <c r="BN74" s="66">
        <v>1024175</v>
      </c>
      <c r="BO74" s="66">
        <v>25473457</v>
      </c>
      <c r="BP74" s="65">
        <v>4039663</v>
      </c>
      <c r="BQ74" s="65">
        <v>4044668</v>
      </c>
      <c r="BR74" s="66">
        <v>16998311</v>
      </c>
      <c r="BS74" s="66">
        <v>390816</v>
      </c>
      <c r="BT74" s="65">
        <v>3685097</v>
      </c>
      <c r="BU74" s="65">
        <v>2101142</v>
      </c>
      <c r="BV74" s="65">
        <v>1502127</v>
      </c>
      <c r="BW74" s="66">
        <v>81828</v>
      </c>
      <c r="BX74" s="65">
        <v>23531597</v>
      </c>
      <c r="BY74" s="65">
        <v>14172940</v>
      </c>
      <c r="BZ74" s="66">
        <v>9091633</v>
      </c>
      <c r="CA74" s="65">
        <v>7906904</v>
      </c>
      <c r="CB74" s="66">
        <v>1184730</v>
      </c>
      <c r="CC74" s="66">
        <v>1285393</v>
      </c>
      <c r="CD74" s="65">
        <v>18924741</v>
      </c>
      <c r="CE74" s="65">
        <v>9738113</v>
      </c>
      <c r="CF74" s="65">
        <v>3272840</v>
      </c>
      <c r="CG74" s="65">
        <v>5913788</v>
      </c>
      <c r="CH74" s="65">
        <v>1298532</v>
      </c>
      <c r="CI74" s="66">
        <v>543856</v>
      </c>
      <c r="CJ74" s="66">
        <v>754676</v>
      </c>
      <c r="CK74" s="65">
        <v>6695844</v>
      </c>
      <c r="CL74" s="65">
        <v>2258621</v>
      </c>
      <c r="CM74" s="65">
        <v>4437223</v>
      </c>
      <c r="CN74" s="65">
        <v>2570483</v>
      </c>
      <c r="CO74" s="65">
        <v>1432733</v>
      </c>
      <c r="CP74" s="65">
        <v>998152</v>
      </c>
      <c r="CQ74" s="65">
        <v>139599</v>
      </c>
      <c r="CR74" s="66">
        <v>0</v>
      </c>
    </row>
    <row r="75" spans="1:96" s="68" customFormat="1" ht="10.199999999999999" x14ac:dyDescent="0.2">
      <c r="A75" s="64" t="s">
        <v>290</v>
      </c>
      <c r="B75" s="65">
        <v>14228154</v>
      </c>
      <c r="C75" s="65">
        <v>114204</v>
      </c>
      <c r="D75" s="65">
        <v>107695</v>
      </c>
      <c r="E75" s="69">
        <v>608</v>
      </c>
      <c r="F75" s="65">
        <v>5901</v>
      </c>
      <c r="G75" s="65">
        <v>420661</v>
      </c>
      <c r="H75" s="66">
        <v>540573</v>
      </c>
      <c r="I75" s="65">
        <v>388016</v>
      </c>
      <c r="J75" s="66">
        <v>100302</v>
      </c>
      <c r="K75" s="65">
        <v>146263</v>
      </c>
      <c r="L75" s="65">
        <v>141452</v>
      </c>
      <c r="M75" s="65">
        <v>8929952</v>
      </c>
      <c r="N75" s="65">
        <v>940698</v>
      </c>
      <c r="O75" s="66">
        <v>805093</v>
      </c>
      <c r="P75" s="65">
        <v>10523</v>
      </c>
      <c r="Q75" s="66">
        <v>4860</v>
      </c>
      <c r="R75" s="67">
        <v>1321</v>
      </c>
      <c r="S75" s="65">
        <v>12941</v>
      </c>
      <c r="T75" s="65">
        <v>325647</v>
      </c>
      <c r="U75" s="65">
        <v>51146</v>
      </c>
      <c r="V75" s="65">
        <v>388638</v>
      </c>
      <c r="W75" s="65">
        <v>2063266</v>
      </c>
      <c r="X75" s="66">
        <v>94368</v>
      </c>
      <c r="Y75" s="66">
        <v>47302</v>
      </c>
      <c r="Z75" s="66">
        <v>106171</v>
      </c>
      <c r="AA75" s="65">
        <v>271572</v>
      </c>
      <c r="AB75" s="65">
        <v>346051</v>
      </c>
      <c r="AC75" s="65">
        <v>1780486</v>
      </c>
      <c r="AD75" s="65">
        <v>328673</v>
      </c>
      <c r="AE75" s="65">
        <v>782226</v>
      </c>
      <c r="AF75" s="66">
        <v>20509</v>
      </c>
      <c r="AG75" s="66">
        <v>548462</v>
      </c>
      <c r="AH75" s="66">
        <v>787810</v>
      </c>
      <c r="AI75" s="65">
        <v>593846</v>
      </c>
      <c r="AJ75" s="65">
        <v>145134</v>
      </c>
      <c r="AK75" s="65">
        <v>448712</v>
      </c>
      <c r="AL75" s="65">
        <v>0</v>
      </c>
      <c r="AM75" s="65">
        <v>193964</v>
      </c>
      <c r="AN75" s="65">
        <v>6800</v>
      </c>
      <c r="AO75" s="67">
        <v>643</v>
      </c>
      <c r="AP75" s="69">
        <v>3132</v>
      </c>
      <c r="AQ75" s="66">
        <v>1793</v>
      </c>
      <c r="AR75" s="65">
        <v>60030</v>
      </c>
      <c r="AS75" s="65">
        <v>68190</v>
      </c>
      <c r="AT75" s="65">
        <v>765</v>
      </c>
      <c r="AU75" s="69">
        <v>24170</v>
      </c>
      <c r="AV75" s="65">
        <v>4002</v>
      </c>
      <c r="AW75" s="65">
        <v>9218</v>
      </c>
      <c r="AX75" s="66">
        <v>7432</v>
      </c>
      <c r="AY75" s="65">
        <v>7790</v>
      </c>
      <c r="AZ75" s="66">
        <v>0</v>
      </c>
      <c r="BA75" s="65">
        <v>9055</v>
      </c>
      <c r="BB75" s="65">
        <v>1008</v>
      </c>
      <c r="BC75" s="69">
        <v>817</v>
      </c>
      <c r="BD75" s="65">
        <v>0</v>
      </c>
      <c r="BE75" s="69">
        <v>166</v>
      </c>
      <c r="BF75" s="65">
        <v>3168</v>
      </c>
      <c r="BG75" s="67">
        <v>3896</v>
      </c>
      <c r="BH75" s="65">
        <v>2447283</v>
      </c>
      <c r="BI75" s="66">
        <v>1328569</v>
      </c>
      <c r="BJ75" s="65">
        <v>230175</v>
      </c>
      <c r="BK75" s="69">
        <v>325096</v>
      </c>
      <c r="BL75" s="69">
        <v>522754</v>
      </c>
      <c r="BM75" s="65">
        <v>14054</v>
      </c>
      <c r="BN75" s="66">
        <v>26635</v>
      </c>
      <c r="BO75" s="66">
        <v>80654</v>
      </c>
      <c r="BP75" s="65">
        <v>49017</v>
      </c>
      <c r="BQ75" s="65">
        <v>15794</v>
      </c>
      <c r="BR75" s="66">
        <v>13366</v>
      </c>
      <c r="BS75" s="67">
        <v>2477</v>
      </c>
      <c r="BT75" s="65">
        <v>22041</v>
      </c>
      <c r="BU75" s="65">
        <v>1794</v>
      </c>
      <c r="BV75" s="69">
        <v>2781</v>
      </c>
      <c r="BW75" s="66">
        <v>17466</v>
      </c>
      <c r="BX75" s="65">
        <v>317565</v>
      </c>
      <c r="BY75" s="65">
        <v>45389</v>
      </c>
      <c r="BZ75" s="66">
        <v>21062</v>
      </c>
      <c r="CA75" s="65">
        <v>10481</v>
      </c>
      <c r="CB75" s="66">
        <v>10581</v>
      </c>
      <c r="CC75" s="67">
        <v>14454</v>
      </c>
      <c r="CD75" s="65">
        <v>11725</v>
      </c>
      <c r="CE75" s="65">
        <v>6572</v>
      </c>
      <c r="CF75" s="65">
        <v>4494</v>
      </c>
      <c r="CG75" s="65">
        <v>659</v>
      </c>
      <c r="CH75" s="69">
        <v>4890</v>
      </c>
      <c r="CI75" s="67">
        <v>4869</v>
      </c>
      <c r="CJ75" s="67">
        <v>22</v>
      </c>
      <c r="CK75" s="65">
        <v>61140</v>
      </c>
      <c r="CL75" s="65">
        <v>3937</v>
      </c>
      <c r="CM75" s="65">
        <v>57203</v>
      </c>
      <c r="CN75" s="65">
        <v>11679</v>
      </c>
      <c r="CO75" s="65">
        <v>8171</v>
      </c>
      <c r="CP75" s="65">
        <v>3507</v>
      </c>
      <c r="CQ75" s="65" t="s">
        <v>291</v>
      </c>
      <c r="CR75" s="66">
        <v>0</v>
      </c>
    </row>
    <row r="76" spans="1:96" s="68" customFormat="1" ht="10.199999999999999" x14ac:dyDescent="0.2">
      <c r="A76" s="64" t="s">
        <v>249</v>
      </c>
      <c r="B76" s="65">
        <v>102001864</v>
      </c>
      <c r="C76" s="65">
        <v>119262</v>
      </c>
      <c r="D76" s="65">
        <v>116014</v>
      </c>
      <c r="E76" s="65">
        <v>2311</v>
      </c>
      <c r="F76" s="65">
        <v>937</v>
      </c>
      <c r="G76" s="65">
        <v>2095449</v>
      </c>
      <c r="H76" s="66">
        <v>3018597</v>
      </c>
      <c r="I76" s="65">
        <v>1050147</v>
      </c>
      <c r="J76" s="66">
        <v>775549</v>
      </c>
      <c r="K76" s="65">
        <v>155439</v>
      </c>
      <c r="L76" s="65">
        <v>119159</v>
      </c>
      <c r="M76" s="65">
        <v>16515473</v>
      </c>
      <c r="N76" s="65">
        <v>421759</v>
      </c>
      <c r="O76" s="66">
        <v>91175</v>
      </c>
      <c r="P76" s="65">
        <v>68070</v>
      </c>
      <c r="Q76" s="66">
        <v>17107</v>
      </c>
      <c r="R76" s="66">
        <v>8961</v>
      </c>
      <c r="S76" s="65">
        <v>35970</v>
      </c>
      <c r="T76" s="65">
        <v>607479</v>
      </c>
      <c r="U76" s="65">
        <v>214992</v>
      </c>
      <c r="V76" s="65">
        <v>774024</v>
      </c>
      <c r="W76" s="65">
        <v>2729195</v>
      </c>
      <c r="X76" s="66">
        <v>328802</v>
      </c>
      <c r="Y76" s="66">
        <v>113995</v>
      </c>
      <c r="Z76" s="66">
        <v>355587</v>
      </c>
      <c r="AA76" s="65">
        <v>308676</v>
      </c>
      <c r="AB76" s="65">
        <v>580771</v>
      </c>
      <c r="AC76" s="65">
        <v>2109348</v>
      </c>
      <c r="AD76" s="65">
        <v>146436</v>
      </c>
      <c r="AE76" s="65">
        <v>6956152</v>
      </c>
      <c r="AF76" s="66">
        <v>112155</v>
      </c>
      <c r="AG76" s="66">
        <v>534819</v>
      </c>
      <c r="AH76" s="66">
        <v>6608797</v>
      </c>
      <c r="AI76" s="65">
        <v>2930902</v>
      </c>
      <c r="AJ76" s="65">
        <v>2252634</v>
      </c>
      <c r="AK76" s="65">
        <v>677900</v>
      </c>
      <c r="AL76" s="69">
        <v>368</v>
      </c>
      <c r="AM76" s="65">
        <v>3677895</v>
      </c>
      <c r="AN76" s="65">
        <v>625289</v>
      </c>
      <c r="AO76" s="66">
        <v>89542</v>
      </c>
      <c r="AP76" s="65">
        <v>353898</v>
      </c>
      <c r="AQ76" s="66">
        <v>296918</v>
      </c>
      <c r="AR76" s="65">
        <v>331249</v>
      </c>
      <c r="AS76" s="65">
        <v>116997</v>
      </c>
      <c r="AT76" s="65">
        <v>139956</v>
      </c>
      <c r="AU76" s="65">
        <v>674357</v>
      </c>
      <c r="AV76" s="65">
        <v>235294</v>
      </c>
      <c r="AW76" s="65">
        <v>535823</v>
      </c>
      <c r="AX76" s="66">
        <v>110128</v>
      </c>
      <c r="AY76" s="65">
        <v>168443</v>
      </c>
      <c r="AZ76" s="66">
        <v>0</v>
      </c>
      <c r="BA76" s="65">
        <v>660163</v>
      </c>
      <c r="BB76" s="65">
        <v>392963</v>
      </c>
      <c r="BC76" s="65">
        <v>53263</v>
      </c>
      <c r="BD76" s="65">
        <v>5593</v>
      </c>
      <c r="BE76" s="65">
        <v>6960</v>
      </c>
      <c r="BF76" s="65">
        <v>182284</v>
      </c>
      <c r="BG76" s="66">
        <v>19101</v>
      </c>
      <c r="BH76" s="65">
        <v>4729414</v>
      </c>
      <c r="BI76" s="66">
        <v>1601384</v>
      </c>
      <c r="BJ76" s="65">
        <v>474694</v>
      </c>
      <c r="BK76" s="65">
        <v>234690</v>
      </c>
      <c r="BL76" s="65">
        <v>2137343</v>
      </c>
      <c r="BM76" s="65">
        <v>59260</v>
      </c>
      <c r="BN76" s="66">
        <v>222042</v>
      </c>
      <c r="BO76" s="66">
        <v>39605311</v>
      </c>
      <c r="BP76" s="65">
        <v>35156817</v>
      </c>
      <c r="BQ76" s="65">
        <v>2389502</v>
      </c>
      <c r="BR76" s="66">
        <v>1328150</v>
      </c>
      <c r="BS76" s="66">
        <v>730842</v>
      </c>
      <c r="BT76" s="65">
        <v>3854295</v>
      </c>
      <c r="BU76" s="65">
        <v>3415273</v>
      </c>
      <c r="BV76" s="65">
        <v>328288</v>
      </c>
      <c r="BW76" s="66">
        <v>110734</v>
      </c>
      <c r="BX76" s="65">
        <v>2025845</v>
      </c>
      <c r="BY76" s="65">
        <v>18110722</v>
      </c>
      <c r="BZ76" s="66">
        <v>410794</v>
      </c>
      <c r="CA76" s="65">
        <v>375105</v>
      </c>
      <c r="CB76" s="66">
        <v>35689</v>
      </c>
      <c r="CC76" s="66">
        <v>158275</v>
      </c>
      <c r="CD76" s="65">
        <v>442510</v>
      </c>
      <c r="CE76" s="65">
        <v>170048</v>
      </c>
      <c r="CF76" s="65">
        <v>125658</v>
      </c>
      <c r="CG76" s="65">
        <v>146804</v>
      </c>
      <c r="CH76" s="65">
        <v>362169</v>
      </c>
      <c r="CI76" s="66">
        <v>74310</v>
      </c>
      <c r="CJ76" s="66">
        <v>287859</v>
      </c>
      <c r="CK76" s="65">
        <v>1926571</v>
      </c>
      <c r="CL76" s="65">
        <v>1126552</v>
      </c>
      <c r="CM76" s="65">
        <v>800019</v>
      </c>
      <c r="CN76" s="65">
        <v>308069</v>
      </c>
      <c r="CO76" s="65">
        <v>22977</v>
      </c>
      <c r="CP76" s="65">
        <v>283774</v>
      </c>
      <c r="CQ76" s="65">
        <v>1318</v>
      </c>
      <c r="CR76" s="66">
        <v>0</v>
      </c>
    </row>
    <row r="77" spans="1:96" s="68" customFormat="1" ht="10.199999999999999" x14ac:dyDescent="0.2">
      <c r="A77" s="64" t="s">
        <v>250</v>
      </c>
      <c r="B77" s="65">
        <v>3439392627</v>
      </c>
      <c r="C77" s="65">
        <v>37942157</v>
      </c>
      <c r="D77" s="65">
        <v>32139743</v>
      </c>
      <c r="E77" s="65">
        <v>1904428</v>
      </c>
      <c r="F77" s="65">
        <v>3897985</v>
      </c>
      <c r="G77" s="65">
        <v>63013170</v>
      </c>
      <c r="H77" s="66">
        <v>83700689</v>
      </c>
      <c r="I77" s="65">
        <v>77901379</v>
      </c>
      <c r="J77" s="66">
        <v>22442204</v>
      </c>
      <c r="K77" s="65">
        <v>11351494</v>
      </c>
      <c r="L77" s="65">
        <v>44107681</v>
      </c>
      <c r="M77" s="65">
        <v>532913186</v>
      </c>
      <c r="N77" s="65">
        <v>42204602</v>
      </c>
      <c r="O77" s="66">
        <v>14190288</v>
      </c>
      <c r="P77" s="65">
        <v>2266126</v>
      </c>
      <c r="Q77" s="66">
        <v>4977654</v>
      </c>
      <c r="R77" s="66">
        <v>740516</v>
      </c>
      <c r="S77" s="65">
        <v>4279209</v>
      </c>
      <c r="T77" s="65">
        <v>10756651</v>
      </c>
      <c r="U77" s="65">
        <v>5901021</v>
      </c>
      <c r="V77" s="65">
        <v>54790645</v>
      </c>
      <c r="W77" s="65">
        <v>118883615</v>
      </c>
      <c r="X77" s="66">
        <v>9924696</v>
      </c>
      <c r="Y77" s="66">
        <v>8617245</v>
      </c>
      <c r="Z77" s="66">
        <v>8652635</v>
      </c>
      <c r="AA77" s="65">
        <v>17054408</v>
      </c>
      <c r="AB77" s="65">
        <v>28606842</v>
      </c>
      <c r="AC77" s="65">
        <v>59112005</v>
      </c>
      <c r="AD77" s="65">
        <v>45552260</v>
      </c>
      <c r="AE77" s="65">
        <v>68296915</v>
      </c>
      <c r="AF77" s="66">
        <v>4054523</v>
      </c>
      <c r="AG77" s="66">
        <v>24051332</v>
      </c>
      <c r="AH77" s="66">
        <v>353079000</v>
      </c>
      <c r="AI77" s="65">
        <v>161913896</v>
      </c>
      <c r="AJ77" s="65">
        <v>75418756</v>
      </c>
      <c r="AK77" s="65">
        <v>84812304</v>
      </c>
      <c r="AL77" s="65">
        <v>1682836</v>
      </c>
      <c r="AM77" s="65">
        <v>191165041</v>
      </c>
      <c r="AN77" s="65">
        <v>23403749</v>
      </c>
      <c r="AO77" s="66">
        <v>7347859</v>
      </c>
      <c r="AP77" s="65">
        <v>6550972</v>
      </c>
      <c r="AQ77" s="66">
        <v>10609947</v>
      </c>
      <c r="AR77" s="65">
        <v>31398450</v>
      </c>
      <c r="AS77" s="65">
        <v>21879811</v>
      </c>
      <c r="AT77" s="65">
        <v>7904001</v>
      </c>
      <c r="AU77" s="65">
        <v>16941565</v>
      </c>
      <c r="AV77" s="65">
        <v>6550854</v>
      </c>
      <c r="AW77" s="65">
        <v>28609291</v>
      </c>
      <c r="AX77" s="66">
        <v>9871673</v>
      </c>
      <c r="AY77" s="65">
        <v>20096868</v>
      </c>
      <c r="AZ77" s="67">
        <v>64</v>
      </c>
      <c r="BA77" s="65">
        <v>171046497</v>
      </c>
      <c r="BB77" s="65">
        <v>66953159</v>
      </c>
      <c r="BC77" s="65">
        <v>51213119</v>
      </c>
      <c r="BD77" s="65">
        <v>4249304</v>
      </c>
      <c r="BE77" s="65">
        <v>1804900</v>
      </c>
      <c r="BF77" s="65">
        <v>43169230</v>
      </c>
      <c r="BG77" s="66">
        <v>3656785</v>
      </c>
      <c r="BH77" s="65">
        <v>285488112</v>
      </c>
      <c r="BI77" s="66">
        <v>50413679</v>
      </c>
      <c r="BJ77" s="65">
        <v>16825343</v>
      </c>
      <c r="BK77" s="65">
        <v>39266315</v>
      </c>
      <c r="BL77" s="65">
        <v>156749085</v>
      </c>
      <c r="BM77" s="65">
        <v>6702747</v>
      </c>
      <c r="BN77" s="66">
        <v>15530943</v>
      </c>
      <c r="BO77" s="66">
        <v>891686710</v>
      </c>
      <c r="BP77" s="65">
        <v>112362260</v>
      </c>
      <c r="BQ77" s="65">
        <v>94107476</v>
      </c>
      <c r="BR77" s="66">
        <v>606834156</v>
      </c>
      <c r="BS77" s="66">
        <v>78382817</v>
      </c>
      <c r="BT77" s="65">
        <v>74538665</v>
      </c>
      <c r="BU77" s="65">
        <v>57828766</v>
      </c>
      <c r="BV77" s="65">
        <v>15334895</v>
      </c>
      <c r="BW77" s="66">
        <v>1375003</v>
      </c>
      <c r="BX77" s="65">
        <v>206931577</v>
      </c>
      <c r="BY77" s="65">
        <v>265967456</v>
      </c>
      <c r="BZ77" s="66">
        <v>76330236</v>
      </c>
      <c r="CA77" s="65">
        <v>65482868</v>
      </c>
      <c r="CB77" s="66">
        <v>10847368</v>
      </c>
      <c r="CC77" s="66">
        <v>10860255</v>
      </c>
      <c r="CD77" s="65">
        <v>173530529</v>
      </c>
      <c r="CE77" s="65">
        <v>111599570</v>
      </c>
      <c r="CF77" s="65">
        <v>23621309</v>
      </c>
      <c r="CG77" s="65">
        <v>38309650</v>
      </c>
      <c r="CH77" s="65">
        <v>24655055</v>
      </c>
      <c r="CI77" s="66">
        <v>13842339</v>
      </c>
      <c r="CJ77" s="66">
        <v>10812715</v>
      </c>
      <c r="CK77" s="65">
        <v>75006809</v>
      </c>
      <c r="CL77" s="65">
        <v>25395633</v>
      </c>
      <c r="CM77" s="65">
        <v>49611177</v>
      </c>
      <c r="CN77" s="65">
        <v>34776291</v>
      </c>
      <c r="CO77" s="65">
        <v>12730076</v>
      </c>
      <c r="CP77" s="65">
        <v>13758488</v>
      </c>
      <c r="CQ77" s="65">
        <v>8287727</v>
      </c>
      <c r="CR77" s="67">
        <v>24856</v>
      </c>
    </row>
    <row r="78" spans="1:96" s="68" customFormat="1" ht="10.199999999999999" x14ac:dyDescent="0.2">
      <c r="A78" s="64" t="s">
        <v>251</v>
      </c>
      <c r="B78" s="65">
        <v>828766410</v>
      </c>
      <c r="C78" s="65">
        <v>1305844</v>
      </c>
      <c r="D78" s="65">
        <v>333219</v>
      </c>
      <c r="E78" s="65">
        <v>-193699</v>
      </c>
      <c r="F78" s="65">
        <v>1166323</v>
      </c>
      <c r="G78" s="65">
        <v>5964338</v>
      </c>
      <c r="H78" s="66">
        <v>-3834548</v>
      </c>
      <c r="I78" s="65">
        <v>15546443</v>
      </c>
      <c r="J78" s="66">
        <v>-6249758</v>
      </c>
      <c r="K78" s="65">
        <v>3339122</v>
      </c>
      <c r="L78" s="65">
        <v>18457079</v>
      </c>
      <c r="M78" s="65">
        <v>210388584</v>
      </c>
      <c r="N78" s="65">
        <v>20276854</v>
      </c>
      <c r="O78" s="66">
        <v>18744191</v>
      </c>
      <c r="P78" s="65">
        <v>-216083</v>
      </c>
      <c r="Q78" s="66">
        <v>1992449</v>
      </c>
      <c r="R78" s="66">
        <v>452280</v>
      </c>
      <c r="S78" s="65">
        <v>-2947876</v>
      </c>
      <c r="T78" s="65">
        <v>3583683</v>
      </c>
      <c r="U78" s="65">
        <v>390168</v>
      </c>
      <c r="V78" s="65">
        <v>67073645</v>
      </c>
      <c r="W78" s="65">
        <v>99237113</v>
      </c>
      <c r="X78" s="66">
        <v>2523116</v>
      </c>
      <c r="Y78" s="66">
        <v>-3558688</v>
      </c>
      <c r="Z78" s="66">
        <v>-6530078</v>
      </c>
      <c r="AA78" s="65">
        <v>5364696</v>
      </c>
      <c r="AB78" s="65">
        <v>3322378</v>
      </c>
      <c r="AC78" s="65">
        <v>26513689</v>
      </c>
      <c r="AD78" s="65">
        <v>4054206</v>
      </c>
      <c r="AE78" s="65">
        <v>-42420295</v>
      </c>
      <c r="AF78" s="66">
        <v>152103</v>
      </c>
      <c r="AG78" s="66">
        <v>12381032</v>
      </c>
      <c r="AH78" s="66">
        <v>134949609</v>
      </c>
      <c r="AI78" s="65">
        <v>60778487</v>
      </c>
      <c r="AJ78" s="65">
        <v>15690999</v>
      </c>
      <c r="AK78" s="65">
        <v>44980953</v>
      </c>
      <c r="AL78" s="65">
        <v>106536</v>
      </c>
      <c r="AM78" s="65">
        <v>74171223</v>
      </c>
      <c r="AN78" s="65">
        <v>4485927</v>
      </c>
      <c r="AO78" s="66">
        <v>440819</v>
      </c>
      <c r="AP78" s="65">
        <v>2492585</v>
      </c>
      <c r="AQ78" s="66">
        <v>7584175</v>
      </c>
      <c r="AR78" s="65">
        <v>9043611</v>
      </c>
      <c r="AS78" s="65">
        <v>11628472</v>
      </c>
      <c r="AT78" s="65">
        <v>499696</v>
      </c>
      <c r="AU78" s="65">
        <v>5453353</v>
      </c>
      <c r="AV78" s="65">
        <v>983781</v>
      </c>
      <c r="AW78" s="65">
        <v>24473597</v>
      </c>
      <c r="AX78" s="66">
        <v>1934161</v>
      </c>
      <c r="AY78" s="65">
        <v>5151046</v>
      </c>
      <c r="AZ78" s="67">
        <v>-102</v>
      </c>
      <c r="BA78" s="65">
        <v>5621718</v>
      </c>
      <c r="BB78" s="65">
        <v>-3300446</v>
      </c>
      <c r="BC78" s="65">
        <v>2821724</v>
      </c>
      <c r="BD78" s="65">
        <v>357950</v>
      </c>
      <c r="BE78" s="65">
        <v>979082</v>
      </c>
      <c r="BF78" s="65">
        <v>3980294</v>
      </c>
      <c r="BG78" s="66">
        <v>783113</v>
      </c>
      <c r="BH78" s="65">
        <v>42880554</v>
      </c>
      <c r="BI78" s="66">
        <v>16981408</v>
      </c>
      <c r="BJ78" s="65">
        <v>3676485</v>
      </c>
      <c r="BK78" s="65">
        <v>956248</v>
      </c>
      <c r="BL78" s="65">
        <v>16692651</v>
      </c>
      <c r="BM78" s="65">
        <v>75656</v>
      </c>
      <c r="BN78" s="66">
        <v>4498106</v>
      </c>
      <c r="BO78" s="66">
        <v>348562893</v>
      </c>
      <c r="BP78" s="65">
        <v>-16563000</v>
      </c>
      <c r="BQ78" s="65">
        <v>40887123</v>
      </c>
      <c r="BR78" s="66">
        <v>52930922</v>
      </c>
      <c r="BS78" s="66">
        <v>271307848</v>
      </c>
      <c r="BT78" s="65">
        <v>6778801</v>
      </c>
      <c r="BU78" s="65">
        <v>7137126</v>
      </c>
      <c r="BV78" s="65">
        <v>-1851841</v>
      </c>
      <c r="BW78" s="66">
        <v>1493517</v>
      </c>
      <c r="BX78" s="65">
        <v>38896392</v>
      </c>
      <c r="BY78" s="65">
        <v>-45025266</v>
      </c>
      <c r="BZ78" s="66">
        <v>11561297</v>
      </c>
      <c r="CA78" s="65">
        <v>7433570</v>
      </c>
      <c r="CB78" s="66">
        <v>4127727</v>
      </c>
      <c r="CC78" s="66">
        <v>5730452</v>
      </c>
      <c r="CD78" s="65">
        <v>37376263</v>
      </c>
      <c r="CE78" s="65">
        <v>26915763</v>
      </c>
      <c r="CF78" s="65">
        <v>5402789</v>
      </c>
      <c r="CG78" s="65">
        <v>5057712</v>
      </c>
      <c r="CH78" s="65">
        <v>1449692</v>
      </c>
      <c r="CI78" s="66">
        <v>2168244</v>
      </c>
      <c r="CJ78" s="66">
        <v>-718551</v>
      </c>
      <c r="CK78" s="65">
        <v>5706601</v>
      </c>
      <c r="CL78" s="65">
        <v>-6706015</v>
      </c>
      <c r="CM78" s="65">
        <v>12412616</v>
      </c>
      <c r="CN78" s="65">
        <v>4936414</v>
      </c>
      <c r="CO78" s="65">
        <v>2879198</v>
      </c>
      <c r="CP78" s="65">
        <v>2077568</v>
      </c>
      <c r="CQ78" s="65">
        <v>-20351</v>
      </c>
      <c r="CR78" s="67">
        <v>-29672</v>
      </c>
    </row>
    <row r="79" spans="1:96" s="68" customFormat="1" ht="10.199999999999999" x14ac:dyDescent="0.2">
      <c r="A79" s="64" t="s">
        <v>311</v>
      </c>
      <c r="B79" s="65">
        <v>151282736</v>
      </c>
      <c r="C79" s="65">
        <v>114304</v>
      </c>
      <c r="D79" s="65">
        <v>114304</v>
      </c>
      <c r="E79" s="65">
        <v>0</v>
      </c>
      <c r="F79" s="65">
        <v>0</v>
      </c>
      <c r="G79" s="65">
        <v>2970217</v>
      </c>
      <c r="H79" s="66">
        <v>354804</v>
      </c>
      <c r="I79" s="65">
        <v>225320</v>
      </c>
      <c r="J79" s="67">
        <v>12430</v>
      </c>
      <c r="K79" s="69">
        <v>205236</v>
      </c>
      <c r="L79" s="65">
        <v>7655</v>
      </c>
      <c r="M79" s="65">
        <v>90985016</v>
      </c>
      <c r="N79" s="65">
        <v>3854651</v>
      </c>
      <c r="O79" s="66">
        <v>2197860</v>
      </c>
      <c r="P79" s="65">
        <v>17112</v>
      </c>
      <c r="Q79" s="66">
        <v>144222</v>
      </c>
      <c r="R79" s="66">
        <v>50285</v>
      </c>
      <c r="S79" s="69">
        <v>98864</v>
      </c>
      <c r="T79" s="65">
        <v>2265914</v>
      </c>
      <c r="U79" s="65">
        <v>94699</v>
      </c>
      <c r="V79" s="65">
        <v>30701428</v>
      </c>
      <c r="W79" s="65">
        <v>17780377</v>
      </c>
      <c r="X79" s="66">
        <v>368641</v>
      </c>
      <c r="Y79" s="66">
        <v>125702</v>
      </c>
      <c r="Z79" s="66">
        <v>289835</v>
      </c>
      <c r="AA79" s="65">
        <v>1450320</v>
      </c>
      <c r="AB79" s="65">
        <v>2801939</v>
      </c>
      <c r="AC79" s="65">
        <v>15405945</v>
      </c>
      <c r="AD79" s="65">
        <v>7715626</v>
      </c>
      <c r="AE79" s="65">
        <v>3204853</v>
      </c>
      <c r="AF79" s="66">
        <v>6409</v>
      </c>
      <c r="AG79" s="66">
        <v>2410335</v>
      </c>
      <c r="AH79" s="66">
        <v>8885186</v>
      </c>
      <c r="AI79" s="65">
        <v>4114354</v>
      </c>
      <c r="AJ79" s="65">
        <v>862079</v>
      </c>
      <c r="AK79" s="65">
        <v>3252275</v>
      </c>
      <c r="AL79" s="65">
        <v>0</v>
      </c>
      <c r="AM79" s="65">
        <v>4770832</v>
      </c>
      <c r="AN79" s="65">
        <v>6327</v>
      </c>
      <c r="AO79" s="66">
        <v>9496</v>
      </c>
      <c r="AP79" s="69">
        <v>259988</v>
      </c>
      <c r="AQ79" s="66">
        <v>665235</v>
      </c>
      <c r="AR79" s="65">
        <v>8789</v>
      </c>
      <c r="AS79" s="69">
        <v>2100</v>
      </c>
      <c r="AT79" s="65">
        <v>0</v>
      </c>
      <c r="AU79" s="65">
        <v>387775</v>
      </c>
      <c r="AV79" s="65">
        <v>52534</v>
      </c>
      <c r="AW79" s="65">
        <v>2436710</v>
      </c>
      <c r="AX79" s="66">
        <v>236171</v>
      </c>
      <c r="AY79" s="65">
        <v>705706</v>
      </c>
      <c r="AZ79" s="66">
        <v>0</v>
      </c>
      <c r="BA79" s="65">
        <v>304068</v>
      </c>
      <c r="BB79" s="65">
        <v>47412</v>
      </c>
      <c r="BC79" s="69">
        <v>6902</v>
      </c>
      <c r="BD79" s="69">
        <v>8867</v>
      </c>
      <c r="BE79" s="65">
        <v>19735</v>
      </c>
      <c r="BF79" s="65">
        <v>212974</v>
      </c>
      <c r="BG79" s="67">
        <v>8178</v>
      </c>
      <c r="BH79" s="65">
        <v>4067785</v>
      </c>
      <c r="BI79" s="66">
        <v>2644158</v>
      </c>
      <c r="BJ79" s="65">
        <v>238454</v>
      </c>
      <c r="BK79" s="69">
        <v>97663</v>
      </c>
      <c r="BL79" s="65">
        <v>698880</v>
      </c>
      <c r="BM79" s="65">
        <v>74452</v>
      </c>
      <c r="BN79" s="66">
        <v>314178</v>
      </c>
      <c r="BO79" s="66">
        <v>30508160</v>
      </c>
      <c r="BP79" s="65">
        <v>1238208</v>
      </c>
      <c r="BQ79" s="65">
        <v>2915511</v>
      </c>
      <c r="BR79" s="66">
        <v>26351539</v>
      </c>
      <c r="BS79" s="67">
        <v>2901</v>
      </c>
      <c r="BT79" s="65">
        <v>55267</v>
      </c>
      <c r="BU79" s="65">
        <v>24353</v>
      </c>
      <c r="BV79" s="65">
        <v>19983</v>
      </c>
      <c r="BW79" s="66">
        <v>10931</v>
      </c>
      <c r="BX79" s="65">
        <v>1436343</v>
      </c>
      <c r="BY79" s="65">
        <v>9018321</v>
      </c>
      <c r="BZ79" s="66">
        <v>429844</v>
      </c>
      <c r="CA79" s="65">
        <v>407529</v>
      </c>
      <c r="CB79" s="66">
        <v>22315</v>
      </c>
      <c r="CC79" s="66">
        <v>43472</v>
      </c>
      <c r="CD79" s="65">
        <v>8142</v>
      </c>
      <c r="CE79" s="65">
        <v>5152</v>
      </c>
      <c r="CF79" s="65">
        <v>1691</v>
      </c>
      <c r="CG79" s="65">
        <v>1299</v>
      </c>
      <c r="CH79" s="65">
        <v>149910</v>
      </c>
      <c r="CI79" s="66">
        <v>118498</v>
      </c>
      <c r="CJ79" s="66">
        <v>31412</v>
      </c>
      <c r="CK79" s="65">
        <v>1682439</v>
      </c>
      <c r="CL79" s="65">
        <v>499531</v>
      </c>
      <c r="CM79" s="65">
        <v>1182908</v>
      </c>
      <c r="CN79" s="65">
        <v>44140</v>
      </c>
      <c r="CO79" s="65">
        <v>12057</v>
      </c>
      <c r="CP79" s="65">
        <v>32083</v>
      </c>
      <c r="CQ79" s="65">
        <v>0</v>
      </c>
      <c r="CR79" s="66">
        <v>0</v>
      </c>
    </row>
    <row r="80" spans="1:96" s="72" customFormat="1" ht="10.199999999999999" x14ac:dyDescent="0.2">
      <c r="A80" s="73" t="s">
        <v>258</v>
      </c>
      <c r="B80" s="59">
        <v>918953413</v>
      </c>
      <c r="C80" s="59">
        <v>1371793</v>
      </c>
      <c r="D80" s="59">
        <v>405263</v>
      </c>
      <c r="E80" s="59">
        <v>-195354</v>
      </c>
      <c r="F80" s="59">
        <v>1161885</v>
      </c>
      <c r="G80" s="59">
        <v>8879260</v>
      </c>
      <c r="H80" s="58">
        <v>-3580990</v>
      </c>
      <c r="I80" s="59">
        <v>15557288</v>
      </c>
      <c r="J80" s="58">
        <v>-6320258</v>
      </c>
      <c r="K80" s="59">
        <v>3481165</v>
      </c>
      <c r="L80" s="59">
        <v>18396381</v>
      </c>
      <c r="M80" s="59">
        <v>300585906</v>
      </c>
      <c r="N80" s="59">
        <v>24107985</v>
      </c>
      <c r="O80" s="58">
        <v>20931789</v>
      </c>
      <c r="P80" s="59">
        <v>-214980</v>
      </c>
      <c r="Q80" s="58">
        <v>2133874</v>
      </c>
      <c r="R80" s="58">
        <v>501629</v>
      </c>
      <c r="S80" s="59">
        <v>-2854134</v>
      </c>
      <c r="T80" s="59">
        <v>5845025</v>
      </c>
      <c r="U80" s="59">
        <v>478933</v>
      </c>
      <c r="V80" s="59">
        <v>97706692</v>
      </c>
      <c r="W80" s="59">
        <v>116952797</v>
      </c>
      <c r="X80" s="58">
        <v>2874328</v>
      </c>
      <c r="Y80" s="58">
        <v>-3438493</v>
      </c>
      <c r="Z80" s="58">
        <v>-6250944</v>
      </c>
      <c r="AA80" s="59">
        <v>6776210</v>
      </c>
      <c r="AB80" s="59">
        <v>6050767</v>
      </c>
      <c r="AC80" s="59">
        <v>41750082</v>
      </c>
      <c r="AD80" s="59">
        <v>11562418</v>
      </c>
      <c r="AE80" s="59">
        <v>-39231217</v>
      </c>
      <c r="AF80" s="58">
        <v>151224</v>
      </c>
      <c r="AG80" s="58">
        <v>14751922</v>
      </c>
      <c r="AH80" s="58">
        <v>143312385</v>
      </c>
      <c r="AI80" s="59">
        <v>64621912</v>
      </c>
      <c r="AJ80" s="59">
        <v>16456898</v>
      </c>
      <c r="AK80" s="59">
        <v>48058478</v>
      </c>
      <c r="AL80" s="59">
        <v>106536</v>
      </c>
      <c r="AM80" s="59">
        <v>78690575</v>
      </c>
      <c r="AN80" s="59">
        <v>4484044</v>
      </c>
      <c r="AO80" s="58">
        <v>445069</v>
      </c>
      <c r="AP80" s="59">
        <v>2645616</v>
      </c>
      <c r="AQ80" s="58">
        <v>8218703</v>
      </c>
      <c r="AR80" s="59">
        <v>9024703</v>
      </c>
      <c r="AS80" s="59">
        <v>11625390</v>
      </c>
      <c r="AT80" s="59">
        <v>490878</v>
      </c>
      <c r="AU80" s="59">
        <v>5815934</v>
      </c>
      <c r="AV80" s="59">
        <v>1031478</v>
      </c>
      <c r="AW80" s="59">
        <v>26887182</v>
      </c>
      <c r="AX80" s="58">
        <v>2168379</v>
      </c>
      <c r="AY80" s="59">
        <v>5853200</v>
      </c>
      <c r="AZ80" s="60">
        <v>-102</v>
      </c>
      <c r="BA80" s="59">
        <v>5878577</v>
      </c>
      <c r="BB80" s="59">
        <v>-3266288</v>
      </c>
      <c r="BC80" s="59">
        <v>2813427</v>
      </c>
      <c r="BD80" s="59">
        <v>365781</v>
      </c>
      <c r="BE80" s="59">
        <v>998614</v>
      </c>
      <c r="BF80" s="59">
        <v>4178646</v>
      </c>
      <c r="BG80" s="58">
        <v>788396</v>
      </c>
      <c r="BH80" s="59">
        <v>46707585</v>
      </c>
      <c r="BI80" s="58">
        <v>19528925</v>
      </c>
      <c r="BJ80" s="59">
        <v>3908649</v>
      </c>
      <c r="BK80" s="59">
        <v>1027849</v>
      </c>
      <c r="BL80" s="59">
        <v>17329875</v>
      </c>
      <c r="BM80" s="59">
        <v>148071</v>
      </c>
      <c r="BN80" s="58">
        <v>4764216</v>
      </c>
      <c r="BO80" s="58">
        <v>330140794</v>
      </c>
      <c r="BP80" s="59">
        <v>-18618746</v>
      </c>
      <c r="BQ80" s="59">
        <v>43235912</v>
      </c>
      <c r="BR80" s="58">
        <v>62699839</v>
      </c>
      <c r="BS80" s="58">
        <v>242823788</v>
      </c>
      <c r="BT80" s="59">
        <v>6662217</v>
      </c>
      <c r="BU80" s="59">
        <v>7030137</v>
      </c>
      <c r="BV80" s="59">
        <v>-1860076</v>
      </c>
      <c r="BW80" s="58">
        <v>1492156</v>
      </c>
      <c r="BX80" s="59">
        <v>40237495</v>
      </c>
      <c r="BY80" s="59">
        <v>-45704645</v>
      </c>
      <c r="BZ80" s="58">
        <v>11944492</v>
      </c>
      <c r="CA80" s="59">
        <v>7798067</v>
      </c>
      <c r="CB80" s="58">
        <v>4146424</v>
      </c>
      <c r="CC80" s="58">
        <v>5761297</v>
      </c>
      <c r="CD80" s="59">
        <v>37315716</v>
      </c>
      <c r="CE80" s="59">
        <v>26895571</v>
      </c>
      <c r="CF80" s="59">
        <v>5401567</v>
      </c>
      <c r="CG80" s="59">
        <v>5018577</v>
      </c>
      <c r="CH80" s="59">
        <v>1583688</v>
      </c>
      <c r="CI80" s="58">
        <v>2275960</v>
      </c>
      <c r="CJ80" s="58">
        <v>-692273</v>
      </c>
      <c r="CK80" s="59">
        <v>7377643</v>
      </c>
      <c r="CL80" s="59">
        <v>-6212218</v>
      </c>
      <c r="CM80" s="59">
        <v>13589861</v>
      </c>
      <c r="CN80" s="59">
        <v>4952582</v>
      </c>
      <c r="CO80" s="59">
        <v>2888641</v>
      </c>
      <c r="CP80" s="59">
        <v>2100437</v>
      </c>
      <c r="CQ80" s="59">
        <v>-36495</v>
      </c>
      <c r="CR80" s="60">
        <v>-29672</v>
      </c>
    </row>
    <row r="81" spans="1:96" s="72" customFormat="1" ht="10.199999999999999" x14ac:dyDescent="0.2">
      <c r="A81" s="73" t="s">
        <v>252</v>
      </c>
      <c r="B81" s="59">
        <v>894850255</v>
      </c>
      <c r="C81" s="59">
        <v>2237165</v>
      </c>
      <c r="D81" s="59">
        <v>1857754</v>
      </c>
      <c r="E81" s="59">
        <v>141468</v>
      </c>
      <c r="F81" s="59">
        <v>237943</v>
      </c>
      <c r="G81" s="59">
        <v>24126394</v>
      </c>
      <c r="H81" s="58">
        <v>16760242</v>
      </c>
      <c r="I81" s="59">
        <v>9786276</v>
      </c>
      <c r="J81" s="58">
        <v>2264655</v>
      </c>
      <c r="K81" s="59">
        <v>3570255</v>
      </c>
      <c r="L81" s="59">
        <v>3951366</v>
      </c>
      <c r="M81" s="59">
        <v>383493963</v>
      </c>
      <c r="N81" s="59">
        <v>19413023</v>
      </c>
      <c r="O81" s="58">
        <v>19922834</v>
      </c>
      <c r="P81" s="59">
        <v>261747</v>
      </c>
      <c r="Q81" s="58">
        <v>1502511</v>
      </c>
      <c r="R81" s="58">
        <v>276947</v>
      </c>
      <c r="S81" s="59">
        <v>288926</v>
      </c>
      <c r="T81" s="59">
        <v>7659001</v>
      </c>
      <c r="U81" s="59">
        <v>1349936</v>
      </c>
      <c r="V81" s="59">
        <v>99684049</v>
      </c>
      <c r="W81" s="59">
        <v>117589932</v>
      </c>
      <c r="X81" s="58">
        <v>2041406</v>
      </c>
      <c r="Y81" s="58">
        <v>1025111</v>
      </c>
      <c r="Z81" s="58">
        <v>2143465</v>
      </c>
      <c r="AA81" s="59">
        <v>6538453</v>
      </c>
      <c r="AB81" s="59">
        <v>10238774</v>
      </c>
      <c r="AC81" s="59">
        <v>46645642</v>
      </c>
      <c r="AD81" s="59">
        <v>12219872</v>
      </c>
      <c r="AE81" s="59">
        <v>19660218</v>
      </c>
      <c r="AF81" s="58">
        <v>409926</v>
      </c>
      <c r="AG81" s="58">
        <v>14622189</v>
      </c>
      <c r="AH81" s="58">
        <v>128580331</v>
      </c>
      <c r="AI81" s="59">
        <v>51991719</v>
      </c>
      <c r="AJ81" s="59">
        <v>16924466</v>
      </c>
      <c r="AK81" s="59">
        <v>35011093</v>
      </c>
      <c r="AL81" s="59">
        <v>56160</v>
      </c>
      <c r="AM81" s="59">
        <v>76588612</v>
      </c>
      <c r="AN81" s="59">
        <v>2881801</v>
      </c>
      <c r="AO81" s="58">
        <v>1382017</v>
      </c>
      <c r="AP81" s="59">
        <v>3001538</v>
      </c>
      <c r="AQ81" s="58">
        <v>8744151</v>
      </c>
      <c r="AR81" s="59">
        <v>6794710</v>
      </c>
      <c r="AS81" s="59">
        <v>10142600</v>
      </c>
      <c r="AT81" s="59">
        <v>428172</v>
      </c>
      <c r="AU81" s="59">
        <v>7995179</v>
      </c>
      <c r="AV81" s="59">
        <v>1139042</v>
      </c>
      <c r="AW81" s="59">
        <v>27307142</v>
      </c>
      <c r="AX81" s="58">
        <v>2290793</v>
      </c>
      <c r="AY81" s="59">
        <v>4481467</v>
      </c>
      <c r="AZ81" s="58">
        <v>0</v>
      </c>
      <c r="BA81" s="59">
        <v>12093302</v>
      </c>
      <c r="BB81" s="59">
        <v>4245933</v>
      </c>
      <c r="BC81" s="59">
        <v>1343964</v>
      </c>
      <c r="BD81" s="59">
        <v>154753</v>
      </c>
      <c r="BE81" s="59">
        <v>794374</v>
      </c>
      <c r="BF81" s="59">
        <v>4887075</v>
      </c>
      <c r="BG81" s="58">
        <v>667203</v>
      </c>
      <c r="BH81" s="59">
        <v>63265201</v>
      </c>
      <c r="BI81" s="58">
        <v>23562877</v>
      </c>
      <c r="BJ81" s="59">
        <v>4127750</v>
      </c>
      <c r="BK81" s="59">
        <v>6082846</v>
      </c>
      <c r="BL81" s="59">
        <v>22614255</v>
      </c>
      <c r="BM81" s="59">
        <v>1262084</v>
      </c>
      <c r="BN81" s="58">
        <v>5615390</v>
      </c>
      <c r="BO81" s="58">
        <v>132293926</v>
      </c>
      <c r="BP81" s="59">
        <v>22481313</v>
      </c>
      <c r="BQ81" s="59">
        <v>30230557</v>
      </c>
      <c r="BR81" s="58">
        <v>76123848</v>
      </c>
      <c r="BS81" s="58">
        <v>3458208</v>
      </c>
      <c r="BT81" s="59">
        <v>6354596</v>
      </c>
      <c r="BU81" s="59">
        <v>3989601</v>
      </c>
      <c r="BV81" s="59">
        <v>1187827</v>
      </c>
      <c r="BW81" s="58">
        <v>1177167</v>
      </c>
      <c r="BX81" s="59">
        <v>26076807</v>
      </c>
      <c r="BY81" s="59">
        <v>52517540</v>
      </c>
      <c r="BZ81" s="58">
        <v>7907800</v>
      </c>
      <c r="CA81" s="59">
        <v>5385714</v>
      </c>
      <c r="CB81" s="58">
        <v>2522086</v>
      </c>
      <c r="CC81" s="58">
        <v>3987996</v>
      </c>
      <c r="CD81" s="59">
        <v>10387337</v>
      </c>
      <c r="CE81" s="59">
        <v>3134235</v>
      </c>
      <c r="CF81" s="59">
        <v>3318786</v>
      </c>
      <c r="CG81" s="59">
        <v>3934315</v>
      </c>
      <c r="CH81" s="59">
        <v>1218514</v>
      </c>
      <c r="CI81" s="58">
        <v>664524</v>
      </c>
      <c r="CJ81" s="58">
        <v>553990</v>
      </c>
      <c r="CK81" s="59">
        <v>11867506</v>
      </c>
      <c r="CL81" s="59">
        <v>1228917</v>
      </c>
      <c r="CM81" s="59">
        <v>10638590</v>
      </c>
      <c r="CN81" s="59">
        <v>1891378</v>
      </c>
      <c r="CO81" s="59">
        <v>670406</v>
      </c>
      <c r="CP81" s="59">
        <v>1033624</v>
      </c>
      <c r="CQ81" s="59">
        <v>187347</v>
      </c>
      <c r="CR81" s="60">
        <v>3981</v>
      </c>
    </row>
    <row r="82" spans="1:96" s="68" customFormat="1" ht="10.199999999999999" x14ac:dyDescent="0.2">
      <c r="A82" s="64" t="s">
        <v>36</v>
      </c>
      <c r="B82" s="65">
        <v>313464460</v>
      </c>
      <c r="C82" s="65">
        <v>660943</v>
      </c>
      <c r="D82" s="65">
        <v>534440</v>
      </c>
      <c r="E82" s="65">
        <v>47185</v>
      </c>
      <c r="F82" s="65">
        <v>79318</v>
      </c>
      <c r="G82" s="65">
        <v>8707927</v>
      </c>
      <c r="H82" s="66">
        <v>5960423</v>
      </c>
      <c r="I82" s="65">
        <v>3132973</v>
      </c>
      <c r="J82" s="66">
        <v>743474</v>
      </c>
      <c r="K82" s="65">
        <v>1235408</v>
      </c>
      <c r="L82" s="65">
        <v>1154091</v>
      </c>
      <c r="M82" s="65">
        <v>135088814</v>
      </c>
      <c r="N82" s="65">
        <v>6791444</v>
      </c>
      <c r="O82" s="66">
        <v>6974544</v>
      </c>
      <c r="P82" s="65">
        <v>89594</v>
      </c>
      <c r="Q82" s="66">
        <v>522784</v>
      </c>
      <c r="R82" s="66">
        <v>96353</v>
      </c>
      <c r="S82" s="65">
        <v>96036</v>
      </c>
      <c r="T82" s="65">
        <v>2699841</v>
      </c>
      <c r="U82" s="65">
        <v>462956</v>
      </c>
      <c r="V82" s="65">
        <v>35725733</v>
      </c>
      <c r="W82" s="65">
        <v>41224255</v>
      </c>
      <c r="X82" s="66">
        <v>714381</v>
      </c>
      <c r="Y82" s="66">
        <v>362818</v>
      </c>
      <c r="Z82" s="66">
        <v>765479</v>
      </c>
      <c r="AA82" s="65">
        <v>2249973</v>
      </c>
      <c r="AB82" s="65">
        <v>3562159</v>
      </c>
      <c r="AC82" s="65">
        <v>16338410</v>
      </c>
      <c r="AD82" s="65">
        <v>4272501</v>
      </c>
      <c r="AE82" s="65">
        <v>6885751</v>
      </c>
      <c r="AF82" s="66">
        <v>142259</v>
      </c>
      <c r="AG82" s="66">
        <v>5111541</v>
      </c>
      <c r="AH82" s="66">
        <v>44546217</v>
      </c>
      <c r="AI82" s="65">
        <v>17960789</v>
      </c>
      <c r="AJ82" s="65">
        <v>5772495</v>
      </c>
      <c r="AK82" s="65">
        <v>12175288</v>
      </c>
      <c r="AL82" s="65">
        <v>13006</v>
      </c>
      <c r="AM82" s="65">
        <v>26585428</v>
      </c>
      <c r="AN82" s="65">
        <v>975262</v>
      </c>
      <c r="AO82" s="66">
        <v>470814</v>
      </c>
      <c r="AP82" s="65">
        <v>1039985</v>
      </c>
      <c r="AQ82" s="66">
        <v>3032665</v>
      </c>
      <c r="AR82" s="65">
        <v>2343749</v>
      </c>
      <c r="AS82" s="65">
        <v>3520264</v>
      </c>
      <c r="AT82" s="65">
        <v>137811</v>
      </c>
      <c r="AU82" s="65">
        <v>2789377</v>
      </c>
      <c r="AV82" s="65">
        <v>390066</v>
      </c>
      <c r="AW82" s="65">
        <v>9549689</v>
      </c>
      <c r="AX82" s="66">
        <v>779474</v>
      </c>
      <c r="AY82" s="65">
        <v>1556271</v>
      </c>
      <c r="AZ82" s="66">
        <v>0</v>
      </c>
      <c r="BA82" s="65">
        <v>4165758</v>
      </c>
      <c r="BB82" s="65">
        <v>1487169</v>
      </c>
      <c r="BC82" s="65">
        <v>429027</v>
      </c>
      <c r="BD82" s="65">
        <v>47529</v>
      </c>
      <c r="BE82" s="65">
        <v>277207</v>
      </c>
      <c r="BF82" s="65">
        <v>1696110</v>
      </c>
      <c r="BG82" s="66">
        <v>228716</v>
      </c>
      <c r="BH82" s="65">
        <v>22271023</v>
      </c>
      <c r="BI82" s="66">
        <v>8252876</v>
      </c>
      <c r="BJ82" s="65">
        <v>1516732</v>
      </c>
      <c r="BK82" s="65">
        <v>2137254</v>
      </c>
      <c r="BL82" s="65">
        <v>7958283</v>
      </c>
      <c r="BM82" s="65">
        <v>441355</v>
      </c>
      <c r="BN82" s="66">
        <v>1964523</v>
      </c>
      <c r="BO82" s="66">
        <v>46755871</v>
      </c>
      <c r="BP82" s="65">
        <v>8068177</v>
      </c>
      <c r="BQ82" s="65">
        <v>10547756</v>
      </c>
      <c r="BR82" s="66">
        <v>26929172</v>
      </c>
      <c r="BS82" s="66">
        <v>1210765</v>
      </c>
      <c r="BT82" s="65">
        <v>2066012</v>
      </c>
      <c r="BU82" s="65">
        <v>1247070</v>
      </c>
      <c r="BV82" s="65">
        <v>408196</v>
      </c>
      <c r="BW82" s="66">
        <v>410746</v>
      </c>
      <c r="BX82" s="65">
        <v>8952369</v>
      </c>
      <c r="BY82" s="65">
        <v>18561158</v>
      </c>
      <c r="BZ82" s="66">
        <v>2689129</v>
      </c>
      <c r="CA82" s="65">
        <v>1806346</v>
      </c>
      <c r="CB82" s="66">
        <v>882783</v>
      </c>
      <c r="CC82" s="66">
        <v>1385976</v>
      </c>
      <c r="CD82" s="65">
        <v>3527557</v>
      </c>
      <c r="CE82" s="65">
        <v>1066322</v>
      </c>
      <c r="CF82" s="65">
        <v>1140078</v>
      </c>
      <c r="CG82" s="65">
        <v>1321157</v>
      </c>
      <c r="CH82" s="65">
        <v>378493</v>
      </c>
      <c r="CI82" s="66">
        <v>191846</v>
      </c>
      <c r="CJ82" s="66">
        <v>186647</v>
      </c>
      <c r="CK82" s="65">
        <v>4055424</v>
      </c>
      <c r="CL82" s="65">
        <v>431353</v>
      </c>
      <c r="CM82" s="65">
        <v>3624071</v>
      </c>
      <c r="CN82" s="65">
        <v>557038</v>
      </c>
      <c r="CO82" s="65">
        <v>182240</v>
      </c>
      <c r="CP82" s="65">
        <v>335888</v>
      </c>
      <c r="CQ82" s="65">
        <v>38911</v>
      </c>
      <c r="CR82" s="67">
        <v>1354</v>
      </c>
    </row>
    <row r="83" spans="1:96" s="68" customFormat="1" ht="10.199999999999999" x14ac:dyDescent="0.2">
      <c r="A83" s="64" t="s">
        <v>253</v>
      </c>
      <c r="B83" s="65">
        <v>310112420</v>
      </c>
      <c r="C83" s="65">
        <v>653843</v>
      </c>
      <c r="D83" s="65">
        <v>532700</v>
      </c>
      <c r="E83" s="65">
        <v>47077</v>
      </c>
      <c r="F83" s="65">
        <v>74066</v>
      </c>
      <c r="G83" s="65">
        <v>8420561</v>
      </c>
      <c r="H83" s="66">
        <v>5859516</v>
      </c>
      <c r="I83" s="65">
        <v>3085131</v>
      </c>
      <c r="J83" s="66">
        <v>728536</v>
      </c>
      <c r="K83" s="65">
        <v>1219568</v>
      </c>
      <c r="L83" s="65">
        <v>1137027</v>
      </c>
      <c r="M83" s="65">
        <v>133938728</v>
      </c>
      <c r="N83" s="65">
        <v>6772588</v>
      </c>
      <c r="O83" s="66">
        <v>6970114</v>
      </c>
      <c r="P83" s="65">
        <v>88101</v>
      </c>
      <c r="Q83" s="66">
        <v>522040</v>
      </c>
      <c r="R83" s="66">
        <v>96353</v>
      </c>
      <c r="S83" s="65">
        <v>93715</v>
      </c>
      <c r="T83" s="65">
        <v>2675123</v>
      </c>
      <c r="U83" s="65">
        <v>462567</v>
      </c>
      <c r="V83" s="65">
        <v>34886054</v>
      </c>
      <c r="W83" s="65">
        <v>41132861</v>
      </c>
      <c r="X83" s="66">
        <v>699464</v>
      </c>
      <c r="Y83" s="66">
        <v>352647</v>
      </c>
      <c r="Z83" s="66">
        <v>741925</v>
      </c>
      <c r="AA83" s="65">
        <v>2239689</v>
      </c>
      <c r="AB83" s="65">
        <v>3554806</v>
      </c>
      <c r="AC83" s="65">
        <v>16305418</v>
      </c>
      <c r="AD83" s="65">
        <v>4262586</v>
      </c>
      <c r="AE83" s="65">
        <v>6853419</v>
      </c>
      <c r="AF83" s="66">
        <v>140749</v>
      </c>
      <c r="AG83" s="66">
        <v>5088511</v>
      </c>
      <c r="AH83" s="66">
        <v>44430279</v>
      </c>
      <c r="AI83" s="65">
        <v>17892577</v>
      </c>
      <c r="AJ83" s="65">
        <v>5731945</v>
      </c>
      <c r="AK83" s="65">
        <v>12147696</v>
      </c>
      <c r="AL83" s="65">
        <v>12936</v>
      </c>
      <c r="AM83" s="65">
        <v>26537702</v>
      </c>
      <c r="AN83" s="65">
        <v>956728</v>
      </c>
      <c r="AO83" s="66">
        <v>470396</v>
      </c>
      <c r="AP83" s="65">
        <v>1038750</v>
      </c>
      <c r="AQ83" s="66">
        <v>3031733</v>
      </c>
      <c r="AR83" s="65">
        <v>2337385</v>
      </c>
      <c r="AS83" s="65">
        <v>3517154</v>
      </c>
      <c r="AT83" s="65">
        <v>137365</v>
      </c>
      <c r="AU83" s="65">
        <v>2781739</v>
      </c>
      <c r="AV83" s="65">
        <v>389849</v>
      </c>
      <c r="AW83" s="65">
        <v>9551822</v>
      </c>
      <c r="AX83" s="66">
        <v>777583</v>
      </c>
      <c r="AY83" s="65">
        <v>1547197</v>
      </c>
      <c r="AZ83" s="66">
        <v>0</v>
      </c>
      <c r="BA83" s="65">
        <v>4139955</v>
      </c>
      <c r="BB83" s="65">
        <v>1471173</v>
      </c>
      <c r="BC83" s="65">
        <v>426965</v>
      </c>
      <c r="BD83" s="65">
        <v>47322</v>
      </c>
      <c r="BE83" s="65">
        <v>276801</v>
      </c>
      <c r="BF83" s="65">
        <v>1690041</v>
      </c>
      <c r="BG83" s="66">
        <v>227653</v>
      </c>
      <c r="BH83" s="65">
        <v>22123303</v>
      </c>
      <c r="BI83" s="66">
        <v>8235728</v>
      </c>
      <c r="BJ83" s="65">
        <v>1466122</v>
      </c>
      <c r="BK83" s="65">
        <v>2126589</v>
      </c>
      <c r="BL83" s="65">
        <v>7895225</v>
      </c>
      <c r="BM83" s="65">
        <v>438855</v>
      </c>
      <c r="BN83" s="66">
        <v>1960785</v>
      </c>
      <c r="BO83" s="66">
        <v>45522470</v>
      </c>
      <c r="BP83" s="65">
        <v>7834572</v>
      </c>
      <c r="BQ83" s="65">
        <v>10405924</v>
      </c>
      <c r="BR83" s="66">
        <v>26078341</v>
      </c>
      <c r="BS83" s="66">
        <v>1203633</v>
      </c>
      <c r="BT83" s="65">
        <v>2017650</v>
      </c>
      <c r="BU83" s="65">
        <v>1207705</v>
      </c>
      <c r="BV83" s="65">
        <v>399537</v>
      </c>
      <c r="BW83" s="66">
        <v>410408</v>
      </c>
      <c r="BX83" s="65">
        <v>8874910</v>
      </c>
      <c r="BY83" s="65">
        <v>18453186</v>
      </c>
      <c r="BZ83" s="66">
        <v>2675750</v>
      </c>
      <c r="CA83" s="65">
        <v>1802131</v>
      </c>
      <c r="CB83" s="66">
        <v>873619</v>
      </c>
      <c r="CC83" s="66">
        <v>1383474</v>
      </c>
      <c r="CD83" s="65">
        <v>3519983</v>
      </c>
      <c r="CE83" s="65">
        <v>1067955</v>
      </c>
      <c r="CF83" s="65">
        <v>1135636</v>
      </c>
      <c r="CG83" s="65">
        <v>1316391</v>
      </c>
      <c r="CH83" s="65">
        <v>414002</v>
      </c>
      <c r="CI83" s="66">
        <v>228928</v>
      </c>
      <c r="CJ83" s="66">
        <v>185073</v>
      </c>
      <c r="CK83" s="65">
        <v>4042685</v>
      </c>
      <c r="CL83" s="65">
        <v>420998</v>
      </c>
      <c r="CM83" s="65">
        <v>3621686</v>
      </c>
      <c r="CN83" s="65">
        <v>555641</v>
      </c>
      <c r="CO83" s="65">
        <v>181487</v>
      </c>
      <c r="CP83" s="65">
        <v>335312</v>
      </c>
      <c r="CQ83" s="65">
        <v>38842</v>
      </c>
      <c r="CR83" s="67">
        <v>1354</v>
      </c>
    </row>
    <row r="84" spans="1:96" s="68" customFormat="1" ht="10.199999999999999" x14ac:dyDescent="0.2">
      <c r="A84" s="64" t="s">
        <v>254</v>
      </c>
      <c r="B84" s="65">
        <v>3118447</v>
      </c>
      <c r="C84" s="65">
        <v>1935</v>
      </c>
      <c r="D84" s="65">
        <v>1485</v>
      </c>
      <c r="E84" s="69">
        <v>105</v>
      </c>
      <c r="F84" s="69">
        <v>345</v>
      </c>
      <c r="G84" s="65">
        <v>287208</v>
      </c>
      <c r="H84" s="66">
        <v>98835</v>
      </c>
      <c r="I84" s="65">
        <v>17986</v>
      </c>
      <c r="J84" s="66">
        <v>4765</v>
      </c>
      <c r="K84" s="65">
        <v>4293</v>
      </c>
      <c r="L84" s="65">
        <v>8927</v>
      </c>
      <c r="M84" s="65">
        <v>1095618</v>
      </c>
      <c r="N84" s="65">
        <v>18827</v>
      </c>
      <c r="O84" s="67">
        <v>334</v>
      </c>
      <c r="P84" s="69">
        <v>1475</v>
      </c>
      <c r="Q84" s="67">
        <v>745</v>
      </c>
      <c r="R84" s="66">
        <v>0</v>
      </c>
      <c r="S84" s="69">
        <v>1713</v>
      </c>
      <c r="T84" s="65">
        <v>24656</v>
      </c>
      <c r="U84" s="69">
        <v>389</v>
      </c>
      <c r="V84" s="65">
        <v>840174</v>
      </c>
      <c r="W84" s="65">
        <v>87262</v>
      </c>
      <c r="X84" s="66">
        <v>14605</v>
      </c>
      <c r="Y84" s="66">
        <v>6498</v>
      </c>
      <c r="Z84" s="66">
        <v>11804</v>
      </c>
      <c r="AA84" s="65">
        <v>7025</v>
      </c>
      <c r="AB84" s="65">
        <v>6830</v>
      </c>
      <c r="AC84" s="65">
        <v>30787</v>
      </c>
      <c r="AD84" s="65">
        <v>6051</v>
      </c>
      <c r="AE84" s="65">
        <v>16983</v>
      </c>
      <c r="AF84" s="66">
        <v>238</v>
      </c>
      <c r="AG84" s="66">
        <v>19221</v>
      </c>
      <c r="AH84" s="66">
        <v>85316</v>
      </c>
      <c r="AI84" s="65">
        <v>52697</v>
      </c>
      <c r="AJ84" s="65">
        <v>29967</v>
      </c>
      <c r="AK84" s="65">
        <v>22730</v>
      </c>
      <c r="AL84" s="65">
        <v>0</v>
      </c>
      <c r="AM84" s="65">
        <v>32619</v>
      </c>
      <c r="AN84" s="65">
        <v>5933</v>
      </c>
      <c r="AO84" s="67">
        <v>417</v>
      </c>
      <c r="AP84" s="69">
        <v>1235</v>
      </c>
      <c r="AQ84" s="67">
        <v>296</v>
      </c>
      <c r="AR84" s="65">
        <v>4832</v>
      </c>
      <c r="AS84" s="65">
        <v>2686</v>
      </c>
      <c r="AT84" s="69">
        <v>105</v>
      </c>
      <c r="AU84" s="65">
        <v>7623</v>
      </c>
      <c r="AV84" s="69">
        <v>447</v>
      </c>
      <c r="AW84" s="69">
        <v>79</v>
      </c>
      <c r="AX84" s="67">
        <v>712</v>
      </c>
      <c r="AY84" s="65">
        <v>8254</v>
      </c>
      <c r="AZ84" s="66">
        <v>0</v>
      </c>
      <c r="BA84" s="65">
        <v>10359</v>
      </c>
      <c r="BB84" s="65">
        <v>5177</v>
      </c>
      <c r="BC84" s="65">
        <v>2052</v>
      </c>
      <c r="BD84" s="69">
        <v>315</v>
      </c>
      <c r="BE84" s="65">
        <v>406</v>
      </c>
      <c r="BF84" s="65">
        <v>1370</v>
      </c>
      <c r="BG84" s="67">
        <v>1038</v>
      </c>
      <c r="BH84" s="65">
        <v>133332</v>
      </c>
      <c r="BI84" s="66">
        <v>12281</v>
      </c>
      <c r="BJ84" s="65">
        <v>46197</v>
      </c>
      <c r="BK84" s="69">
        <v>5752</v>
      </c>
      <c r="BL84" s="65">
        <v>62863</v>
      </c>
      <c r="BM84" s="65">
        <v>2500</v>
      </c>
      <c r="BN84" s="66">
        <v>3739</v>
      </c>
      <c r="BO84" s="66">
        <v>1177570</v>
      </c>
      <c r="BP84" s="65">
        <v>210242</v>
      </c>
      <c r="BQ84" s="65">
        <v>130331</v>
      </c>
      <c r="BR84" s="66">
        <v>833212</v>
      </c>
      <c r="BS84" s="66">
        <v>3785</v>
      </c>
      <c r="BT84" s="65">
        <v>17320</v>
      </c>
      <c r="BU84" s="65">
        <v>9795</v>
      </c>
      <c r="BV84" s="65">
        <v>7429</v>
      </c>
      <c r="BW84" s="67">
        <v>96</v>
      </c>
      <c r="BX84" s="65">
        <v>68783</v>
      </c>
      <c r="BY84" s="65">
        <v>82332</v>
      </c>
      <c r="BZ84" s="66">
        <v>14270</v>
      </c>
      <c r="CA84" s="65">
        <v>5207</v>
      </c>
      <c r="CB84" s="67">
        <v>9063</v>
      </c>
      <c r="CC84" s="66">
        <v>1116</v>
      </c>
      <c r="CD84" s="65">
        <v>13137</v>
      </c>
      <c r="CE84" s="65">
        <v>4375</v>
      </c>
      <c r="CF84" s="65">
        <v>4041</v>
      </c>
      <c r="CG84" s="65">
        <v>4722</v>
      </c>
      <c r="CH84" s="65">
        <v>2802</v>
      </c>
      <c r="CI84" s="67">
        <v>1264</v>
      </c>
      <c r="CJ84" s="66">
        <v>1537</v>
      </c>
      <c r="CK84" s="65">
        <v>8156</v>
      </c>
      <c r="CL84" s="65">
        <v>4561</v>
      </c>
      <c r="CM84" s="65">
        <v>3595</v>
      </c>
      <c r="CN84" s="65">
        <v>2373</v>
      </c>
      <c r="CO84" s="69">
        <v>767</v>
      </c>
      <c r="CP84" s="65">
        <v>1527</v>
      </c>
      <c r="CQ84" s="69">
        <v>80</v>
      </c>
      <c r="CR84" s="66">
        <v>0</v>
      </c>
    </row>
    <row r="85" spans="1:96" s="68" customFormat="1" ht="10.199999999999999" x14ac:dyDescent="0.2">
      <c r="A85" s="64" t="s">
        <v>255</v>
      </c>
      <c r="B85" s="65">
        <v>93565021</v>
      </c>
      <c r="C85" s="65">
        <v>10687</v>
      </c>
      <c r="D85" s="65">
        <v>9832</v>
      </c>
      <c r="E85" s="69">
        <v>853</v>
      </c>
      <c r="F85" s="65">
        <v>1</v>
      </c>
      <c r="G85" s="65">
        <v>4726012</v>
      </c>
      <c r="H85" s="67">
        <v>133033</v>
      </c>
      <c r="I85" s="65">
        <v>160639</v>
      </c>
      <c r="J85" s="66">
        <v>5811</v>
      </c>
      <c r="K85" s="65">
        <v>146618</v>
      </c>
      <c r="L85" s="65">
        <v>8210</v>
      </c>
      <c r="M85" s="65">
        <v>64432417</v>
      </c>
      <c r="N85" s="65">
        <v>1079165</v>
      </c>
      <c r="O85" s="66">
        <v>1485405</v>
      </c>
      <c r="P85" s="69">
        <v>1402</v>
      </c>
      <c r="Q85" s="66">
        <v>194483</v>
      </c>
      <c r="R85" s="66">
        <v>47872</v>
      </c>
      <c r="S85" s="69">
        <v>55</v>
      </c>
      <c r="T85" s="65">
        <v>1398547</v>
      </c>
      <c r="U85" s="69">
        <v>33135</v>
      </c>
      <c r="V85" s="65">
        <v>32627688</v>
      </c>
      <c r="W85" s="65">
        <v>13351434</v>
      </c>
      <c r="X85" s="66">
        <v>112468</v>
      </c>
      <c r="Y85" s="66">
        <v>63814</v>
      </c>
      <c r="Z85" s="66">
        <v>39211</v>
      </c>
      <c r="AA85" s="65">
        <v>600266</v>
      </c>
      <c r="AB85" s="65">
        <v>1130392</v>
      </c>
      <c r="AC85" s="65">
        <v>6869090</v>
      </c>
      <c r="AD85" s="65">
        <v>2757746</v>
      </c>
      <c r="AE85" s="65">
        <v>1137484</v>
      </c>
      <c r="AF85" s="66">
        <v>8609</v>
      </c>
      <c r="AG85" s="66">
        <v>1494150</v>
      </c>
      <c r="AH85" s="66">
        <v>4698329</v>
      </c>
      <c r="AI85" s="65">
        <v>2001257</v>
      </c>
      <c r="AJ85" s="65">
        <v>281232</v>
      </c>
      <c r="AK85" s="65">
        <v>1720025</v>
      </c>
      <c r="AL85" s="65">
        <v>0</v>
      </c>
      <c r="AM85" s="65">
        <v>2697072</v>
      </c>
      <c r="AN85" s="69">
        <v>1423</v>
      </c>
      <c r="AO85" s="66">
        <v>1255</v>
      </c>
      <c r="AP85" s="69">
        <v>39658</v>
      </c>
      <c r="AQ85" s="67">
        <v>629604</v>
      </c>
      <c r="AR85" s="69">
        <v>10392</v>
      </c>
      <c r="AS85" s="69">
        <v>22730</v>
      </c>
      <c r="AT85" s="65">
        <v>409</v>
      </c>
      <c r="AU85" s="65">
        <v>205734</v>
      </c>
      <c r="AV85" s="65">
        <v>58069</v>
      </c>
      <c r="AW85" s="69">
        <v>1134274</v>
      </c>
      <c r="AX85" s="67">
        <v>214944</v>
      </c>
      <c r="AY85" s="65">
        <v>378578</v>
      </c>
      <c r="AZ85" s="66">
        <v>0</v>
      </c>
      <c r="BA85" s="65">
        <v>354702</v>
      </c>
      <c r="BB85" s="65">
        <v>24822</v>
      </c>
      <c r="BC85" s="69">
        <v>206</v>
      </c>
      <c r="BD85" s="65">
        <v>2553</v>
      </c>
      <c r="BE85" s="65">
        <v>0</v>
      </c>
      <c r="BF85" s="65">
        <v>322230</v>
      </c>
      <c r="BG85" s="67">
        <v>4892</v>
      </c>
      <c r="BH85" s="65">
        <v>4215920</v>
      </c>
      <c r="BI85" s="66">
        <v>2552995</v>
      </c>
      <c r="BJ85" s="65">
        <v>442928</v>
      </c>
      <c r="BK85" s="65">
        <v>262140</v>
      </c>
      <c r="BL85" s="65">
        <v>749084</v>
      </c>
      <c r="BM85" s="65">
        <v>37963</v>
      </c>
      <c r="BN85" s="66">
        <v>170810</v>
      </c>
      <c r="BO85" s="66">
        <v>5545645</v>
      </c>
      <c r="BP85" s="65">
        <v>540207</v>
      </c>
      <c r="BQ85" s="65">
        <v>1110881</v>
      </c>
      <c r="BR85" s="66">
        <v>3892873</v>
      </c>
      <c r="BS85" s="67">
        <v>1684</v>
      </c>
      <c r="BT85" s="65">
        <v>138243</v>
      </c>
      <c r="BU85" s="65">
        <v>39295</v>
      </c>
      <c r="BV85" s="65">
        <v>12899</v>
      </c>
      <c r="BW85" s="66">
        <v>86049</v>
      </c>
      <c r="BX85" s="65">
        <v>1206515</v>
      </c>
      <c r="BY85" s="65">
        <v>5995304</v>
      </c>
      <c r="BZ85" s="66">
        <v>233427</v>
      </c>
      <c r="CA85" s="65">
        <v>233387</v>
      </c>
      <c r="CB85" s="66">
        <v>41</v>
      </c>
      <c r="CC85" s="66">
        <v>39205</v>
      </c>
      <c r="CD85" s="65">
        <v>13904</v>
      </c>
      <c r="CE85" s="69">
        <v>393</v>
      </c>
      <c r="CF85" s="65">
        <v>13511</v>
      </c>
      <c r="CG85" s="65" t="s">
        <v>291</v>
      </c>
      <c r="CH85" s="65">
        <v>19511</v>
      </c>
      <c r="CI85" s="66">
        <v>18488</v>
      </c>
      <c r="CJ85" s="67">
        <v>1023</v>
      </c>
      <c r="CK85" s="65">
        <v>1605692</v>
      </c>
      <c r="CL85" s="65">
        <v>204233</v>
      </c>
      <c r="CM85" s="65">
        <v>1401459</v>
      </c>
      <c r="CN85" s="65">
        <v>35835</v>
      </c>
      <c r="CO85" s="69">
        <v>12373</v>
      </c>
      <c r="CP85" s="69">
        <v>23441</v>
      </c>
      <c r="CQ85" s="69">
        <v>22</v>
      </c>
      <c r="CR85" s="66">
        <v>0</v>
      </c>
    </row>
    <row r="86" spans="1:96" s="68" customFormat="1" ht="10.199999999999999" x14ac:dyDescent="0.2">
      <c r="A86" s="64" t="s">
        <v>256</v>
      </c>
      <c r="B86" s="65">
        <v>13333942</v>
      </c>
      <c r="C86" s="65">
        <v>17964</v>
      </c>
      <c r="D86" s="65">
        <v>16173</v>
      </c>
      <c r="E86" s="65">
        <v>225</v>
      </c>
      <c r="F86" s="65">
        <v>1566</v>
      </c>
      <c r="G86" s="65">
        <v>46154</v>
      </c>
      <c r="H86" s="66">
        <v>411353</v>
      </c>
      <c r="I86" s="65">
        <v>49297</v>
      </c>
      <c r="J86" s="66">
        <v>10134</v>
      </c>
      <c r="K86" s="65">
        <v>24414</v>
      </c>
      <c r="L86" s="65">
        <v>14748</v>
      </c>
      <c r="M86" s="65">
        <v>5933727</v>
      </c>
      <c r="N86" s="65">
        <v>128530</v>
      </c>
      <c r="O86" s="66">
        <v>16913</v>
      </c>
      <c r="P86" s="65">
        <v>2966</v>
      </c>
      <c r="Q86" s="66">
        <v>7880</v>
      </c>
      <c r="R86" s="66">
        <v>1336</v>
      </c>
      <c r="S86" s="65">
        <v>3189</v>
      </c>
      <c r="T86" s="65">
        <v>304329</v>
      </c>
      <c r="U86" s="65">
        <v>4400</v>
      </c>
      <c r="V86" s="65">
        <v>1190354</v>
      </c>
      <c r="W86" s="65">
        <v>1541606</v>
      </c>
      <c r="X86" s="66">
        <v>27026</v>
      </c>
      <c r="Y86" s="66">
        <v>9691</v>
      </c>
      <c r="Z86" s="66">
        <v>14043</v>
      </c>
      <c r="AA86" s="65">
        <v>72986</v>
      </c>
      <c r="AB86" s="65">
        <v>146529</v>
      </c>
      <c r="AC86" s="65">
        <v>1230433</v>
      </c>
      <c r="AD86" s="65">
        <v>492760</v>
      </c>
      <c r="AE86" s="65">
        <v>497296</v>
      </c>
      <c r="AF86" s="66">
        <v>5217</v>
      </c>
      <c r="AG86" s="66">
        <v>236242</v>
      </c>
      <c r="AH86" s="66">
        <v>1030092</v>
      </c>
      <c r="AI86" s="65">
        <v>584867</v>
      </c>
      <c r="AJ86" s="65">
        <v>97294</v>
      </c>
      <c r="AK86" s="65">
        <v>487405</v>
      </c>
      <c r="AL86" s="65">
        <v>168</v>
      </c>
      <c r="AM86" s="65">
        <v>445225</v>
      </c>
      <c r="AN86" s="65">
        <v>14143</v>
      </c>
      <c r="AO86" s="66">
        <v>2939</v>
      </c>
      <c r="AP86" s="65">
        <v>12851</v>
      </c>
      <c r="AQ86" s="66">
        <v>24145</v>
      </c>
      <c r="AR86" s="65">
        <v>61445</v>
      </c>
      <c r="AS86" s="65">
        <v>18390</v>
      </c>
      <c r="AT86" s="65">
        <v>9966</v>
      </c>
      <c r="AU86" s="65">
        <v>34672</v>
      </c>
      <c r="AV86" s="65">
        <v>11951</v>
      </c>
      <c r="AW86" s="65">
        <v>234827</v>
      </c>
      <c r="AX86" s="66">
        <v>5453</v>
      </c>
      <c r="AY86" s="65">
        <v>14442</v>
      </c>
      <c r="AZ86" s="66">
        <v>0</v>
      </c>
      <c r="BA86" s="65">
        <v>119404</v>
      </c>
      <c r="BB86" s="65">
        <v>40197</v>
      </c>
      <c r="BC86" s="65">
        <v>4348</v>
      </c>
      <c r="BD86" s="65">
        <v>1571</v>
      </c>
      <c r="BE86" s="65">
        <v>289</v>
      </c>
      <c r="BF86" s="65">
        <v>70448</v>
      </c>
      <c r="BG86" s="66">
        <v>2552</v>
      </c>
      <c r="BH86" s="65">
        <v>875575</v>
      </c>
      <c r="BI86" s="66">
        <v>526306</v>
      </c>
      <c r="BJ86" s="69">
        <v>4868</v>
      </c>
      <c r="BK86" s="65">
        <v>6250</v>
      </c>
      <c r="BL86" s="65">
        <v>169283</v>
      </c>
      <c r="BM86" s="65">
        <v>24485</v>
      </c>
      <c r="BN86" s="66">
        <v>144383</v>
      </c>
      <c r="BO86" s="66">
        <v>777132</v>
      </c>
      <c r="BP86" s="65">
        <v>96072</v>
      </c>
      <c r="BQ86" s="65">
        <v>121377</v>
      </c>
      <c r="BR86" s="66">
        <v>559460</v>
      </c>
      <c r="BS86" s="67">
        <v>223</v>
      </c>
      <c r="BT86" s="65">
        <v>41533</v>
      </c>
      <c r="BU86" s="65">
        <v>6380</v>
      </c>
      <c r="BV86" s="65">
        <v>8195</v>
      </c>
      <c r="BW86" s="67">
        <v>26958</v>
      </c>
      <c r="BX86" s="65">
        <v>360199</v>
      </c>
      <c r="BY86" s="65">
        <v>3044486</v>
      </c>
      <c r="BZ86" s="66">
        <v>70583</v>
      </c>
      <c r="CA86" s="65">
        <v>50143</v>
      </c>
      <c r="CB86" s="66">
        <v>20440</v>
      </c>
      <c r="CC86" s="66">
        <v>3392</v>
      </c>
      <c r="CD86" s="65">
        <v>89282</v>
      </c>
      <c r="CE86" s="65">
        <v>8150</v>
      </c>
      <c r="CF86" s="65">
        <v>19078</v>
      </c>
      <c r="CG86" s="65">
        <v>62054</v>
      </c>
      <c r="CH86" s="65">
        <v>3803</v>
      </c>
      <c r="CI86" s="67">
        <v>1859</v>
      </c>
      <c r="CJ86" s="66">
        <v>1945</v>
      </c>
      <c r="CK86" s="65">
        <v>448859</v>
      </c>
      <c r="CL86" s="65">
        <v>36489</v>
      </c>
      <c r="CM86" s="65">
        <v>412371</v>
      </c>
      <c r="CN86" s="65">
        <v>11106</v>
      </c>
      <c r="CO86" s="65">
        <v>1333</v>
      </c>
      <c r="CP86" s="65">
        <v>9716</v>
      </c>
      <c r="CQ86" s="69">
        <v>57</v>
      </c>
      <c r="CR86" s="66">
        <v>0</v>
      </c>
    </row>
    <row r="87" spans="1:96" s="68" customFormat="1" ht="10.199999999999999" x14ac:dyDescent="0.2">
      <c r="A87" s="64" t="s">
        <v>257</v>
      </c>
      <c r="B87" s="65">
        <v>1384446</v>
      </c>
      <c r="C87" s="65">
        <v>3022</v>
      </c>
      <c r="D87" s="65">
        <v>2289</v>
      </c>
      <c r="E87" s="69">
        <v>371</v>
      </c>
      <c r="F87" s="69">
        <v>361</v>
      </c>
      <c r="G87" s="65">
        <v>104942</v>
      </c>
      <c r="H87" s="66">
        <v>46805</v>
      </c>
      <c r="I87" s="65">
        <v>18411</v>
      </c>
      <c r="J87" s="66">
        <v>4001</v>
      </c>
      <c r="K87" s="65">
        <v>7540</v>
      </c>
      <c r="L87" s="65">
        <v>6870</v>
      </c>
      <c r="M87" s="65">
        <v>380452</v>
      </c>
      <c r="N87" s="65">
        <v>11462</v>
      </c>
      <c r="O87" s="67">
        <v>6672</v>
      </c>
      <c r="P87" s="69">
        <v>1103</v>
      </c>
      <c r="Q87" s="66">
        <v>0</v>
      </c>
      <c r="R87" s="66">
        <v>72</v>
      </c>
      <c r="S87" s="69">
        <v>451</v>
      </c>
      <c r="T87" s="65">
        <v>70268</v>
      </c>
      <c r="U87" s="69">
        <v>2531</v>
      </c>
      <c r="V87" s="69">
        <v>16769</v>
      </c>
      <c r="W87" s="65">
        <v>52026</v>
      </c>
      <c r="X87" s="66">
        <v>2692</v>
      </c>
      <c r="Y87" s="66">
        <v>3687</v>
      </c>
      <c r="Z87" s="67">
        <v>4846</v>
      </c>
      <c r="AA87" s="65">
        <v>9462</v>
      </c>
      <c r="AB87" s="65">
        <v>7300</v>
      </c>
      <c r="AC87" s="65">
        <v>24604</v>
      </c>
      <c r="AD87" s="69">
        <v>147425</v>
      </c>
      <c r="AE87" s="65">
        <v>2469</v>
      </c>
      <c r="AF87" s="66">
        <v>6850</v>
      </c>
      <c r="AG87" s="66">
        <v>9762</v>
      </c>
      <c r="AH87" s="66">
        <v>117578</v>
      </c>
      <c r="AI87" s="65">
        <v>73698</v>
      </c>
      <c r="AJ87" s="65">
        <v>32182</v>
      </c>
      <c r="AK87" s="65">
        <v>41516</v>
      </c>
      <c r="AL87" s="65">
        <v>0</v>
      </c>
      <c r="AM87" s="65">
        <v>43880</v>
      </c>
      <c r="AN87" s="65">
        <v>7375</v>
      </c>
      <c r="AO87" s="66">
        <v>450</v>
      </c>
      <c r="AP87" s="69">
        <v>432</v>
      </c>
      <c r="AQ87" s="67">
        <v>99</v>
      </c>
      <c r="AR87" s="69">
        <v>12237</v>
      </c>
      <c r="AS87" s="65">
        <v>606</v>
      </c>
      <c r="AT87" s="69">
        <v>2852</v>
      </c>
      <c r="AU87" s="69">
        <v>2284</v>
      </c>
      <c r="AV87" s="69">
        <v>2491</v>
      </c>
      <c r="AW87" s="65">
        <v>13944</v>
      </c>
      <c r="AX87" s="66">
        <v>276</v>
      </c>
      <c r="AY87" s="69">
        <v>833</v>
      </c>
      <c r="AZ87" s="66">
        <v>0</v>
      </c>
      <c r="BA87" s="65">
        <v>14421</v>
      </c>
      <c r="BB87" s="69">
        <v>4325</v>
      </c>
      <c r="BC87" s="65">
        <v>4225</v>
      </c>
      <c r="BD87" s="69">
        <v>390</v>
      </c>
      <c r="BE87" s="65">
        <v>854</v>
      </c>
      <c r="BF87" s="69">
        <v>763</v>
      </c>
      <c r="BG87" s="67">
        <v>3865</v>
      </c>
      <c r="BH87" s="65">
        <v>199317</v>
      </c>
      <c r="BI87" s="66">
        <v>5537</v>
      </c>
      <c r="BJ87" s="69">
        <v>526</v>
      </c>
      <c r="BK87" s="69">
        <v>504</v>
      </c>
      <c r="BL87" s="65">
        <v>181358</v>
      </c>
      <c r="BM87" s="65">
        <v>3846</v>
      </c>
      <c r="BN87" s="66">
        <v>7545</v>
      </c>
      <c r="BO87" s="66">
        <v>357233</v>
      </c>
      <c r="BP87" s="65">
        <v>11192</v>
      </c>
      <c r="BQ87" s="65">
        <v>17815</v>
      </c>
      <c r="BR87" s="66">
        <v>327832</v>
      </c>
      <c r="BS87" s="66">
        <v>394</v>
      </c>
      <c r="BT87" s="65">
        <v>43861</v>
      </c>
      <c r="BU87" s="65">
        <v>38403</v>
      </c>
      <c r="BV87" s="65">
        <v>4642</v>
      </c>
      <c r="BW87" s="66">
        <v>816</v>
      </c>
      <c r="BX87" s="65">
        <v>44178</v>
      </c>
      <c r="BY87" s="65">
        <v>12461</v>
      </c>
      <c r="BZ87" s="66">
        <v>16341</v>
      </c>
      <c r="CA87" s="65">
        <v>15359</v>
      </c>
      <c r="CB87" s="67">
        <v>982</v>
      </c>
      <c r="CC87" s="67">
        <v>1338</v>
      </c>
      <c r="CD87" s="65">
        <v>7933</v>
      </c>
      <c r="CE87" s="65">
        <v>1777</v>
      </c>
      <c r="CF87" s="65">
        <v>2584</v>
      </c>
      <c r="CG87" s="69">
        <v>3572</v>
      </c>
      <c r="CH87" s="65">
        <v>280</v>
      </c>
      <c r="CI87" s="66">
        <v>102</v>
      </c>
      <c r="CJ87" s="66">
        <v>177</v>
      </c>
      <c r="CK87" s="65">
        <v>14916</v>
      </c>
      <c r="CL87" s="69">
        <v>13789</v>
      </c>
      <c r="CM87" s="69">
        <v>1127</v>
      </c>
      <c r="CN87" s="69">
        <v>956</v>
      </c>
      <c r="CO87" s="65">
        <v>88</v>
      </c>
      <c r="CP87" s="69">
        <v>868</v>
      </c>
      <c r="CQ87" s="65">
        <v>0</v>
      </c>
      <c r="CR87" s="66">
        <v>0</v>
      </c>
    </row>
    <row r="88" spans="1:96" s="72" customFormat="1" ht="10.199999999999999" x14ac:dyDescent="0.2">
      <c r="A88" s="73" t="s">
        <v>37</v>
      </c>
      <c r="B88" s="59">
        <v>204995622</v>
      </c>
      <c r="C88" s="59">
        <v>629198</v>
      </c>
      <c r="D88" s="59">
        <v>506074</v>
      </c>
      <c r="E88" s="59">
        <v>45735</v>
      </c>
      <c r="F88" s="59">
        <v>77389</v>
      </c>
      <c r="G88" s="59">
        <v>3830820</v>
      </c>
      <c r="H88" s="58">
        <v>5369232</v>
      </c>
      <c r="I88" s="59">
        <v>2904626</v>
      </c>
      <c r="J88" s="58">
        <v>723527</v>
      </c>
      <c r="K88" s="59">
        <v>1056836</v>
      </c>
      <c r="L88" s="59">
        <v>1124263</v>
      </c>
      <c r="M88" s="59">
        <v>64315407</v>
      </c>
      <c r="N88" s="59">
        <v>5572286</v>
      </c>
      <c r="O88" s="58">
        <v>5465553</v>
      </c>
      <c r="P88" s="59">
        <v>84122</v>
      </c>
      <c r="Q88" s="58">
        <v>320422</v>
      </c>
      <c r="R88" s="58">
        <v>47073</v>
      </c>
      <c r="S88" s="59">
        <v>92341</v>
      </c>
      <c r="T88" s="59">
        <v>926640</v>
      </c>
      <c r="U88" s="59">
        <v>422891</v>
      </c>
      <c r="V88" s="59">
        <v>1896549</v>
      </c>
      <c r="W88" s="59">
        <v>26281027</v>
      </c>
      <c r="X88" s="58">
        <v>572184</v>
      </c>
      <c r="Y88" s="58">
        <v>285627</v>
      </c>
      <c r="Z88" s="58">
        <v>707273</v>
      </c>
      <c r="AA88" s="59">
        <v>1568213</v>
      </c>
      <c r="AB88" s="59">
        <v>2277895</v>
      </c>
      <c r="AC88" s="59">
        <v>8179270</v>
      </c>
      <c r="AD88" s="59">
        <v>874571</v>
      </c>
      <c r="AE88" s="59">
        <v>5248502</v>
      </c>
      <c r="AF88" s="58">
        <v>121583</v>
      </c>
      <c r="AG88" s="58">
        <v>3371387</v>
      </c>
      <c r="AH88" s="58">
        <v>38697436</v>
      </c>
      <c r="AI88" s="59">
        <v>15299303</v>
      </c>
      <c r="AJ88" s="59">
        <v>5359974</v>
      </c>
      <c r="AK88" s="59">
        <v>9926491</v>
      </c>
      <c r="AL88" s="59">
        <v>12838</v>
      </c>
      <c r="AM88" s="59">
        <v>23398133</v>
      </c>
      <c r="AN88" s="59">
        <v>952320</v>
      </c>
      <c r="AO88" s="58">
        <v>466169</v>
      </c>
      <c r="AP88" s="59">
        <v>987043</v>
      </c>
      <c r="AQ88" s="58">
        <v>2378817</v>
      </c>
      <c r="AR88" s="59">
        <v>2259417</v>
      </c>
      <c r="AS88" s="59">
        <v>3478538</v>
      </c>
      <c r="AT88" s="59">
        <v>124585</v>
      </c>
      <c r="AU88" s="59">
        <v>2546623</v>
      </c>
      <c r="AV88" s="59">
        <v>317555</v>
      </c>
      <c r="AW88" s="59">
        <v>8166643</v>
      </c>
      <c r="AX88" s="58">
        <v>558801</v>
      </c>
      <c r="AY88" s="59">
        <v>1161622</v>
      </c>
      <c r="AZ88" s="58">
        <v>0</v>
      </c>
      <c r="BA88" s="59">
        <v>3677126</v>
      </c>
      <c r="BB88" s="59">
        <v>1417721</v>
      </c>
      <c r="BC88" s="59">
        <v>420247</v>
      </c>
      <c r="BD88" s="59">
        <v>43015</v>
      </c>
      <c r="BE88" s="59">
        <v>276065</v>
      </c>
      <c r="BF88" s="59">
        <v>1302670</v>
      </c>
      <c r="BG88" s="58">
        <v>217408</v>
      </c>
      <c r="BH88" s="59">
        <v>16980213</v>
      </c>
      <c r="BI88" s="58">
        <v>5168038</v>
      </c>
      <c r="BJ88" s="59">
        <v>1068410</v>
      </c>
      <c r="BK88" s="59">
        <v>1868360</v>
      </c>
      <c r="BL88" s="59">
        <v>6858558</v>
      </c>
      <c r="BM88" s="59">
        <v>375061</v>
      </c>
      <c r="BN88" s="58">
        <v>1641785</v>
      </c>
      <c r="BO88" s="58">
        <v>40007035</v>
      </c>
      <c r="BP88" s="59">
        <v>7415821</v>
      </c>
      <c r="BQ88" s="59">
        <v>9296127</v>
      </c>
      <c r="BR88" s="58">
        <v>22134931</v>
      </c>
      <c r="BS88" s="58">
        <v>1160155</v>
      </c>
      <c r="BT88" s="59">
        <v>1842286</v>
      </c>
      <c r="BU88" s="59">
        <v>1162904</v>
      </c>
      <c r="BV88" s="59">
        <v>382460</v>
      </c>
      <c r="BW88" s="58">
        <v>296922</v>
      </c>
      <c r="BX88" s="59">
        <v>7341365</v>
      </c>
      <c r="BY88" s="59">
        <v>9416566</v>
      </c>
      <c r="BZ88" s="58">
        <v>2368778</v>
      </c>
      <c r="CA88" s="59">
        <v>1507457</v>
      </c>
      <c r="CB88" s="58">
        <v>861321</v>
      </c>
      <c r="CC88" s="58">
        <v>1342041</v>
      </c>
      <c r="CD88" s="59">
        <v>3416437</v>
      </c>
      <c r="CE88" s="59">
        <v>1056001</v>
      </c>
      <c r="CF88" s="59">
        <v>1104905</v>
      </c>
      <c r="CG88" s="59">
        <v>1255531</v>
      </c>
      <c r="CH88" s="59">
        <v>354899</v>
      </c>
      <c r="CI88" s="58">
        <v>171397</v>
      </c>
      <c r="CJ88" s="58">
        <v>183502</v>
      </c>
      <c r="CK88" s="59">
        <v>1991663</v>
      </c>
      <c r="CL88" s="59">
        <v>176843</v>
      </c>
      <c r="CM88" s="59">
        <v>1814820</v>
      </c>
      <c r="CN88" s="59">
        <v>509141</v>
      </c>
      <c r="CO88" s="59">
        <v>168446</v>
      </c>
      <c r="CP88" s="59">
        <v>301863</v>
      </c>
      <c r="CQ88" s="59">
        <v>38832</v>
      </c>
      <c r="CR88" s="60">
        <v>1354</v>
      </c>
    </row>
    <row r="89" spans="1:96" s="77" customFormat="1" ht="10.199999999999999" x14ac:dyDescent="0.2">
      <c r="A89" s="74"/>
      <c r="B89" s="75"/>
      <c r="C89" s="75"/>
      <c r="D89" s="75"/>
      <c r="E89" s="75"/>
      <c r="F89" s="75"/>
      <c r="G89" s="75"/>
      <c r="H89" s="75"/>
      <c r="I89" s="76"/>
      <c r="J89" s="76"/>
      <c r="K89" s="76"/>
      <c r="L89" s="76"/>
      <c r="M89" s="76"/>
      <c r="N89" s="76"/>
      <c r="O89" s="76"/>
      <c r="P89" s="76"/>
      <c r="Q89" s="76"/>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c r="BJ89" s="75"/>
      <c r="BK89" s="75"/>
      <c r="BL89" s="75"/>
      <c r="BM89" s="75"/>
      <c r="BN89" s="75"/>
      <c r="BO89" s="75"/>
      <c r="BP89" s="75"/>
      <c r="BQ89" s="75"/>
      <c r="BR89" s="75"/>
      <c r="BS89" s="75"/>
      <c r="BT89" s="75"/>
      <c r="BU89" s="75"/>
      <c r="BV89" s="75"/>
      <c r="BW89" s="75"/>
      <c r="BX89" s="75"/>
      <c r="BY89" s="75"/>
      <c r="BZ89" s="75"/>
      <c r="CA89" s="75"/>
      <c r="CB89" s="75"/>
      <c r="CC89" s="76"/>
      <c r="CD89" s="76"/>
      <c r="CE89" s="76"/>
      <c r="CF89" s="76"/>
      <c r="CG89" s="76"/>
      <c r="CH89" s="76"/>
      <c r="CI89" s="76"/>
      <c r="CJ89" s="76"/>
      <c r="CK89" s="76"/>
      <c r="CL89" s="76"/>
      <c r="CM89" s="76"/>
      <c r="CN89" s="76"/>
      <c r="CO89" s="76"/>
      <c r="CP89" s="76"/>
      <c r="CQ89" s="76"/>
      <c r="CR89" s="76"/>
    </row>
    <row r="90" spans="1:96" s="6" customFormat="1" ht="7.8" x14ac:dyDescent="0.2">
      <c r="A90" s="5" t="s">
        <v>8</v>
      </c>
      <c r="C90" s="5"/>
      <c r="D90" s="5"/>
      <c r="E90" s="5"/>
      <c r="F90" s="5"/>
      <c r="G90" s="5"/>
      <c r="H90" s="5"/>
      <c r="I90" s="5"/>
      <c r="K90" s="5"/>
      <c r="L90" s="5"/>
      <c r="M90" s="5"/>
      <c r="N90" s="5"/>
      <c r="O90" s="5"/>
      <c r="P90" s="5"/>
      <c r="Q90" s="5"/>
      <c r="S90" s="5"/>
      <c r="T90" s="5"/>
      <c r="U90" s="5"/>
      <c r="V90" s="5"/>
      <c r="W90" s="5"/>
      <c r="X90" s="5"/>
      <c r="Y90" s="5"/>
      <c r="AA90" s="5"/>
      <c r="AB90" s="5"/>
      <c r="AC90" s="5"/>
      <c r="AD90" s="5"/>
      <c r="AE90" s="5"/>
      <c r="AF90" s="5"/>
      <c r="AG90" s="5"/>
      <c r="AI90" s="5"/>
      <c r="AJ90" s="5"/>
      <c r="AK90" s="5"/>
      <c r="AL90" s="5"/>
      <c r="AM90" s="5"/>
      <c r="AN90" s="5"/>
      <c r="AO90" s="5"/>
      <c r="AP90" s="5"/>
      <c r="AR90" s="5"/>
      <c r="AS90" s="5"/>
      <c r="AT90" s="5"/>
      <c r="AU90" s="5"/>
      <c r="AV90" s="5"/>
      <c r="AW90" s="5"/>
      <c r="AX90" s="5"/>
      <c r="AY90" s="5"/>
      <c r="BA90" s="5"/>
      <c r="BB90" s="5"/>
      <c r="BC90" s="5"/>
      <c r="BD90" s="5"/>
      <c r="BE90" s="5"/>
      <c r="BF90" s="5"/>
      <c r="BH90" s="5"/>
      <c r="BI90" s="5"/>
      <c r="BJ90" s="5"/>
      <c r="BK90" s="5"/>
      <c r="BL90" s="5"/>
      <c r="BM90" s="5"/>
      <c r="BP90" s="5"/>
      <c r="BQ90" s="5"/>
      <c r="BR90" s="5"/>
      <c r="BT90" s="5"/>
      <c r="BU90" s="5"/>
      <c r="BV90" s="5"/>
      <c r="BX90" s="5"/>
      <c r="BY90" s="5"/>
      <c r="BZ90" s="5"/>
      <c r="CA90" s="5"/>
    </row>
  </sheetData>
  <mergeCells count="15">
    <mergeCell ref="AM7:AY7"/>
    <mergeCell ref="M6:AG6"/>
    <mergeCell ref="AI7:AL7"/>
    <mergeCell ref="CN6:CQ6"/>
    <mergeCell ref="BZ6:CB6"/>
    <mergeCell ref="CD6:CG6"/>
    <mergeCell ref="CH6:CJ6"/>
    <mergeCell ref="CK6:CM6"/>
    <mergeCell ref="C6:F6"/>
    <mergeCell ref="BT6:BW6"/>
    <mergeCell ref="BH6:BN6"/>
    <mergeCell ref="BO6:BS6"/>
    <mergeCell ref="BA6:BG6"/>
    <mergeCell ref="I6:L6"/>
    <mergeCell ref="AI6:AY6"/>
  </mergeCells>
  <phoneticPr fontId="12" type="noConversion"/>
  <printOptions gridLinesSet="0"/>
  <pageMargins left="0.6" right="0.375" top="0.5" bottom="0.5" header="0.5" footer="0.375"/>
  <pageSetup scale="88" firstPageNumber="83" fitToWidth="0" orientation="portrait" useFirstPageNumber="1" r:id="rId1"/>
  <headerFooter alignWithMargins="0">
    <oddHeader>&amp;C&amp;"Arial,Bold"&amp;12 2009 Corporation Returns - Basic Tables</oddHeader>
    <oddFooter>&amp;C&amp;"Arial,Bold"&amp;P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10</vt:i4>
      </vt:variant>
    </vt:vector>
  </HeadingPairs>
  <TitlesOfParts>
    <vt:vector size="11" baseType="lpstr">
      <vt:lpstr>CRTAB6</vt:lpstr>
      <vt:lpstr>CRTAB6!all</vt:lpstr>
      <vt:lpstr>CRTAB6!Area_stampa</vt:lpstr>
      <vt:lpstr>CRTAB6!column_headings</vt:lpstr>
      <vt:lpstr>CRTAB6!column_numbers</vt:lpstr>
      <vt:lpstr>CRTAB6!data</vt:lpstr>
      <vt:lpstr>CRTAB6!SelectArea</vt:lpstr>
      <vt:lpstr>CRTAB6!spanners</vt:lpstr>
      <vt:lpstr>CRTAB6!stub_lines</vt:lpstr>
      <vt:lpstr>CRTAB6!titles</vt:lpstr>
      <vt:lpstr>CRTAB6!totals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Internal Revenue Service</dc:creator>
  <cp:lastModifiedBy>Stefano Petricca</cp:lastModifiedBy>
  <cp:lastPrinted>2011-11-21T14:51:14Z</cp:lastPrinted>
  <dcterms:created xsi:type="dcterms:W3CDTF">1998-06-24T17:47:17Z</dcterms:created>
  <dcterms:modified xsi:type="dcterms:W3CDTF">2026-03-04T14:34:28Z</dcterms:modified>
</cp:coreProperties>
</file>
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F5552615-685E-4643-A711-A7AF3D3C66AB}" xr6:coauthVersionLast="47" xr6:coauthVersionMax="47" xr10:uidLastSave="{00000000-0000-0000-0000-000000000000}"/>
  <bookViews>
    <workbookView xWindow="-108" yWindow="-108" windowWidth="23256" windowHeight="12456" xr2:uid="{E2819349-ED48-4087-8188-0B2D11E62F2D}"/>
  </bookViews>
  <sheets>
    <sheet name="CRTAB6" sheetId="3" r:id="rId1"/>
  </sheets>
  <definedNames>
    <definedName name="_xlnm._FilterDatabase" localSheetId="0" hidden="1">CRTAB6!$A$6:$CR$88</definedName>
    <definedName name="_Parse_In" localSheetId="0" hidden="1">CRTAB6!$A$15:$K$89</definedName>
    <definedName name="_Parse_Out" localSheetId="0" hidden="1">CRTAB6!$A$15</definedName>
    <definedName name="all" localSheetId="0">CRTAB6!$A$2:$CA$89</definedName>
    <definedName name="all">#REF!</definedName>
    <definedName name="_xlnm.Print_Area" localSheetId="0">CRTAB6!$A$2:$CR$89</definedName>
    <definedName name="column_headings" localSheetId="0">CRTAB6!$A$6:$CA$12</definedName>
    <definedName name="column_headings">#REF!</definedName>
    <definedName name="column_numbers" localSheetId="0">CRTAB6!$B$14:$CA$14</definedName>
    <definedName name="column_numbers">#REF!</definedName>
    <definedName name="data" localSheetId="0">CRTAB6!$B$15:$CA$88</definedName>
    <definedName name="data">#REF!</definedName>
    <definedName name="footnotes" localSheetId="0">CRTAB6!#REF!</definedName>
    <definedName name="footnotes">#REF!</definedName>
    <definedName name="SelectArea" localSheetId="0">CRTAB6!$B$15:$CA$88</definedName>
    <definedName name="SelectArea">#REF!</definedName>
    <definedName name="solver_opt" localSheetId="0" hidden="1">CRTAB6!#REF!</definedName>
    <definedName name="spaces" localSheetId="0">CRTAB6!$17:$17,CRTAB6!$27:$27,CRTAB6!$36:$36,CRTAB6!$42:$42,CRTAB6!$47:$47,CRTAB6!$59:$59,CRTAB6!$65:$65,CRTAB6!$70:$70,CRTAB6!$77:$77,CRTAB6!$81:$81,CRTAB6!#REF!</definedName>
    <definedName name="spaces">#REF!,#REF!,#REF!,#REF!,#REF!,#REF!,#REF!,#REF!,#REF!,#REF!,#REF!</definedName>
    <definedName name="spanners" localSheetId="0">CRTAB6!$D$6:$H$6</definedName>
    <definedName name="spanners">#REF!</definedName>
    <definedName name="stub_lines" localSheetId="0">CRTAB6!$A$14:$A$88</definedName>
    <definedName name="stub_lines">#REF!</definedName>
    <definedName name="titles" localSheetId="0">CRTAB6!$A$2:$A$4</definedName>
    <definedName name="titles">#REF!</definedName>
    <definedName name="totals" localSheetId="0">CRTAB6!$15:$16,CRTAB6!$35:$35,CRTAB6!$46:$46,CRTAB6!$58:$58</definedName>
    <definedName name="totals">#REF!,#REF!,#REF!,#REF!</definedName>
  </definedNames>
  <calcPr calcId="191029" fullCalcOnLoad="1"/>
</workbook>
</file>

<file path=xl/calcChain.xml><?xml version="1.0" encoding="utf-8"?>
<calcChain xmlns="http://schemas.openxmlformats.org/spreadsheetml/2006/main">
  <c r="BP14" i="3" l="1"/>
  <c r="BQ14" i="3" s="1"/>
  <c r="BR14" i="3" s="1"/>
  <c r="BS14" i="3" s="1"/>
  <c r="BT14" i="3" s="1"/>
  <c r="BU14" i="3" s="1"/>
  <c r="BV14" i="3" s="1"/>
  <c r="BW14" i="3" s="1"/>
  <c r="BX14" i="3" s="1"/>
  <c r="BY14" i="3" s="1"/>
  <c r="BZ14" i="3" s="1"/>
  <c r="CA14" i="3" s="1"/>
  <c r="CB14" i="3" s="1"/>
  <c r="CC14" i="3" s="1"/>
  <c r="CD14" i="3" s="1"/>
  <c r="CE14" i="3" s="1"/>
  <c r="CF14" i="3" s="1"/>
  <c r="CG14" i="3" s="1"/>
  <c r="CH14" i="3" s="1"/>
  <c r="CI14" i="3" s="1"/>
  <c r="CJ14" i="3" s="1"/>
  <c r="CK14" i="3" s="1"/>
  <c r="CL14" i="3" s="1"/>
  <c r="CM14" i="3" s="1"/>
  <c r="CN14" i="3" s="1"/>
  <c r="CO14" i="3" s="1"/>
  <c r="CP14" i="3" s="1"/>
  <c r="CQ14" i="3" s="1"/>
  <c r="CR14" i="3" s="1"/>
</calcChain>
</file>

<file path=xl/sharedStrings.xml><?xml version="1.0" encoding="utf-8"?>
<sst xmlns="http://schemas.openxmlformats.org/spreadsheetml/2006/main" count="416" uniqueCount="312">
  <si>
    <t>trade not</t>
  </si>
  <si>
    <t xml:space="preserve">and retail </t>
  </si>
  <si>
    <t>(except</t>
  </si>
  <si>
    <t>(including paging,</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</si>
  <si>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</si>
  <si>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</si>
  <si>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</si>
  <si>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</si>
  <si>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</si>
  <si>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</si>
  <si>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</si>
  <si>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</si>
  <si>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</si>
  <si>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</si>
  <si>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</si>
  <si>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</si>
  <si>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</si>
  <si>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</si>
  <si>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</si>
  <si>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Health care and social assistance</t>
  </si>
  <si>
    <t>Real estate and rental and leasing</t>
  </si>
  <si>
    <t>Finance and insurance</t>
  </si>
  <si>
    <t>Transportation and warehousing</t>
  </si>
  <si>
    <t>Retail trade</t>
  </si>
  <si>
    <t>Wholesale trade</t>
  </si>
  <si>
    <t>Agriculture, forestry, fishing, and hunting</t>
  </si>
  <si>
    <t>Food,</t>
  </si>
  <si>
    <t>transportation</t>
  </si>
  <si>
    <t>and fishing,</t>
  </si>
  <si>
    <t>Truck</t>
  </si>
  <si>
    <t>manufacturing</t>
  </si>
  <si>
    <t>component</t>
  </si>
  <si>
    <t>products</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</si>
  <si>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</si>
  <si>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</si>
  <si>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</si>
  <si>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</si>
  <si>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</si>
  <si>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</si>
  <si>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</si>
  <si>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</si>
  <si>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</si>
  <si>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</si>
  <si>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</si>
  <si>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</si>
  <si>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</si>
  <si>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</si>
  <si>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</si>
  <si>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</si>
  <si>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</si>
  <si>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</si>
  <si>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</si>
  <si>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</si>
  <si>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</si>
  <si>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</si>
  <si>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</si>
  <si>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</si>
  <si>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</si>
  <si>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</si>
  <si>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</si>
  <si>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</si>
  <si>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</si>
  <si>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</si>
  <si>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</si>
  <si>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</si>
  <si>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</si>
  <si>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</si>
  <si>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</si>
  <si>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</si>
  <si>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</si>
  <si>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</si>
  <si>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</si>
  <si>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</si>
  <si>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</si>
  <si>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</si>
  <si>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</si>
  <si>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</si>
  <si>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</si>
  <si>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</si>
  <si>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</si>
  <si>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</si>
  <si>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</si>
  <si>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</si>
  <si>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</si>
  <si>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</si>
  <si>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</si>
  <si>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</si>
  <si>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</si>
  <si>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</si>
  <si>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</si>
  <si>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</si>
  <si>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</si>
  <si>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</si>
  <si>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</si>
  <si>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</si>
  <si>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</si>
  <si>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</si>
  <si>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</si>
  <si>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</si>
  <si>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</si>
  <si>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</si>
  <si>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</si>
  <si>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</si>
  <si>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</si>
  <si>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</si>
  <si>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</si>
  <si>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</si>
  <si>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</si>
  <si>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</si>
  <si>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</si>
  <si>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</si>
  <si>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</si>
  <si>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</si>
  <si>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</si>
  <si>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</si>
  <si>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</si>
  <si>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</si>
  <si>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</si>
  <si>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</si>
  <si>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</si>
  <si>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</si>
  <si>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</si>
  <si>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</si>
  <si>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</si>
  <si>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</si>
  <si>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</si>
  <si>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</si>
  <si>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</si>
  <si>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</si>
  <si>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</si>
  <si>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</si>
  <si>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</si>
  <si>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</si>
  <si>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</si>
  <si>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</si>
  <si>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</si>
  <si>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</si>
  <si>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</si>
  <si>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</si>
  <si>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</si>
  <si>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</si>
  <si>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</si>
  <si>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</si>
  <si>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</si>
  <si>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</si>
  <si>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</si>
  <si>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</si>
  <si>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</si>
  <si>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</si>
  <si>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</si>
  <si>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</si>
  <si>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</si>
  <si>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</si>
  <si>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</si>
  <si>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</si>
  <si>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</si>
  <si>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</si>
  <si>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</si>
  <si>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</si>
  <si>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</si>
  <si>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</si>
  <si>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</si>
  <si>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</si>
  <si>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</si>
  <si>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</si>
  <si>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</si>
  <si>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</si>
  <si>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</si>
  <si>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</si>
  <si>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</si>
  <si>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</si>
  <si>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</si>
  <si>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</si>
  <si>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</si>
  <si>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</si>
  <si>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</si>
  <si>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</si>
  <si>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</si>
  <si>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</si>
  <si>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</si>
  <si>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</si>
  <si>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</si>
  <si>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</si>
  <si>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</si>
  <si>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</si>
  <si>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</si>
  <si>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</si>
  <si>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</si>
  <si>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</si>
  <si>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</si>
  <si>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</si>
  <si>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</si>
  <si>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</si>
  <si>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</si>
  <si>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</si>
  <si>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</si>
  <si>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</si>
  <si>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</si>
  <si>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</si>
  <si>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</si>
  <si>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</si>
  <si>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</si>
  <si>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</si>
  <si>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</si>
  <si>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</si>
  <si>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</si>
  <si>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</si>
  <si>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</si>
  <si>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</si>
  <si>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</si>
  <si>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</si>
  <si>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</si>
  <si>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</si>
  <si>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</si>
  <si>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</si>
  <si>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</si>
  <si>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</si>
  <si>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</si>
  <si>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</si>
  <si>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</si>
  <si>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</si>
  <si>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Other current liabilities..</t>
  </si>
  <si>
    <t xml:space="preserve">    Loans from shareholders..</t>
  </si>
  <si>
    <t xml:space="preserve">    Other liabilities..</t>
  </si>
  <si>
    <t>Total receipts..</t>
  </si>
  <si>
    <t xml:space="preserve">    Business receipts..</t>
  </si>
  <si>
    <t xml:space="preserve">    Interest..</t>
  </si>
  <si>
    <t xml:space="preserve">    Rents..</t>
  </si>
  <si>
    <t xml:space="preserve">    Royalties..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</si>
  <si>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</si>
  <si>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</si>
  <si>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</si>
  <si>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</si>
  <si>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</si>
  <si>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</si>
  <si>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</si>
  <si>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</si>
  <si>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</si>
  <si>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</si>
  <si>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</si>
  <si>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</si>
  <si>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</si>
  <si>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</si>
  <si>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</si>
  <si>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</si>
  <si>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</si>
  <si>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</si>
  <si>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</si>
  <si>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</si>
  <si>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Income subject to tax..</t>
  </si>
  <si>
    <t xml:space="preserve">    Income tax..</t>
  </si>
  <si>
    <t xml:space="preserve">    Alternative minimum tax..</t>
  </si>
  <si>
    <t>Foreign tax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</si>
  <si>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</si>
  <si>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</si>
  <si>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</si>
  <si>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</si>
  <si>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</si>
  <si>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</si>
  <si>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</si>
  <si>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</si>
  <si>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</si>
  <si>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</si>
  <si>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</si>
  <si>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</si>
  <si>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</si>
  <si>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</si>
  <si>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</si>
  <si>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</si>
  <si>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</si>
  <si>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</si>
  <si>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</si>
  <si>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</si>
  <si>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</si>
  <si>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</si>
  <si>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</si>
  <si>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</si>
  <si>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Table 6--Balance Sheet, Income Statement, Tax, and Selected Other Items, by Major Industry</t>
  </si>
  <si>
    <t xml:space="preserve">    Salaries and wages..</t>
  </si>
  <si>
    <t>and land</t>
  </si>
  <si>
    <t>subdivision</t>
  </si>
  <si>
    <t>total</t>
  </si>
  <si>
    <t>Internet)</t>
  </si>
  <si>
    <t>copyrighted</t>
  </si>
  <si>
    <t>works)</t>
  </si>
  <si>
    <t>Information</t>
  </si>
  <si>
    <t xml:space="preserve">    Domestic production activities deduction</t>
  </si>
  <si>
    <t>[1]</t>
  </si>
  <si>
    <t xml:space="preserve">    Pension, profit-sharing, stock, annuity</t>
  </si>
  <si>
    <t xml:space="preserve">cellular, satellite, </t>
  </si>
  <si>
    <t>cable and internet</t>
  </si>
  <si>
    <t>service providers)</t>
  </si>
  <si>
    <t>Data processing,</t>
  </si>
  <si>
    <t>hosting, and</t>
  </si>
  <si>
    <t>services (including</t>
  </si>
  <si>
    <t>news syndicates,</t>
  </si>
  <si>
    <t>libries, and internet</t>
  </si>
  <si>
    <t>Other information</t>
  </si>
  <si>
    <t xml:space="preserve">publishing &amp; </t>
  </si>
  <si>
    <t>broadcasting)</t>
  </si>
  <si>
    <t xml:space="preserve">    Depreciable assets ..</t>
  </si>
  <si>
    <t xml:space="preserve">        Less: Accumulated depreciation ..</t>
  </si>
  <si>
    <t xml:space="preserve">    Cost of goods sold [19]..</t>
  </si>
  <si>
    <t>Tax Year 2008</t>
  </si>
  <si>
    <t>Wholesale and retail trade</t>
  </si>
  <si>
    <t xml:space="preserve">    Mortgages, notes, and bonds payable in less than one year..</t>
  </si>
  <si>
    <t xml:space="preserve">    Mortgages, notes, and bonds payable in one year or more..</t>
  </si>
  <si>
    <t xml:space="preserve">    Interest on Government obligations: State and local..</t>
  </si>
  <si>
    <t xml:space="preserve">    Net short-term capital gain reduced by  net long-term capital loss..</t>
  </si>
  <si>
    <t xml:space="preserve">    Net long-term capital gain reduced by net short-term capital loss..</t>
  </si>
  <si>
    <t>Constructive taxable income from related foreign corporations..</t>
  </si>
  <si>
    <t xml:space="preserve">RETURNS OF ACTIVE CORPORATIONS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</si>
</sst>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General_)"/>
    <numFmt numFmtId="173" formatCode="\(#,##0\)"/>
    <numFmt numFmtId="174" formatCode="@*."/>
    <numFmt numFmtId="175" formatCode="&quot;    &quot;@"/>
    <numFmt numFmtId="176" formatCode="#,##0;\-#,##0;0;@"/>
    <numFmt numFmtId="177" formatCode="&quot;*&quot;#,##0;&quot;*&quot;\-#,##0;&quot;*&quot;@"/>
  </numFmts>
  <fonts count="15" x14ac:knownFonts="1">
    <font>
      <sz val="10"/>
      <name val="courier"/>
    </font>
    <font>
      <sz val="10"/>
      <name val="MS Sans Serif"/>
      <family val="2"/>
    </font>
    <font>
      <b/>
      <sz val="10"/>
      <name val="Helvetica"/>
    </font>
    <font>
      <sz val="7"/>
      <name val="Helvetica"/>
    </font>
    <font>
      <b/>
      <sz val="7"/>
      <name val="Helvetica"/>
    </font>
    <font>
      <sz val="5"/>
      <name val="Helvetica"/>
      <family val="2"/>
    </font>
    <font>
      <sz val="6"/>
      <name val="Arial"/>
      <family val="2"/>
    </font>
    <font>
      <b/>
      <sz val="10"/>
      <name val="Arial"/>
      <family val="2"/>
    </font>
    <font>
      <b/>
      <sz val="9"/>
      <name val="Arial"/>
      <family val="2"/>
    </font>
    <font>
      <sz val="9"/>
      <name val="Arial"/>
      <family val="2"/>
    </font>
    <font>
      <sz val="5"/>
      <name val="Arial"/>
      <family val="2"/>
    </font>
    <font>
      <sz val="10"/>
      <name val="Arial"/>
      <family val="2"/>
    </font>
    <font>
      <b/>
      <sz val="8"/>
      <name val="Arial"/>
      <family val="2"/>
    </font>
    <font>
      <sz val="8"/>
      <name val="Arial"/>
      <family val="2"/>
    </font>
    <font>
      <sz val="8"/>
      <name val="Courier"/>
      <family val="3"/>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style="thin">
        <color indexed="64"/>
      </top>
      <bottom style="thin">
        <color indexed="64"/>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5"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97">
    <xf numFmtId="172" fontId="0" fillId="0" borderId="0" xfId="0"/>
    <xf numFmtId="0" fontId="10" fillId="0" borderId="4" xfId="7" applyFont="1" applyBorder="1" applyAlignment="1">
      <alignment horizontal="left" vertical="center"/>
    </xf>
    <xf numFmtId="172" fontId="10" fillId="0" borderId="4" xfId="0" applyFont="1" applyBorder="1" applyAlignment="1">
      <alignment vertical="center"/>
    </xf>
    <xf numFmtId="172" fontId="10" fillId="0" borderId="4" xfId="0" applyFont="1" applyBorder="1" applyAlignment="1">
      <alignment horizontal="center" vertical="center"/>
    </xf>
    <xf numFmtId="172" fontId="10" fillId="0" borderId="4" xfId="0" applyFont="1" applyBorder="1" applyAlignment="1">
      <alignment horizontal="left" vertical="center"/>
    </xf>
    <xf numFmtId="175" fontId="6" fillId="0" borderId="0" xfId="4" applyFont="1" applyAlignment="1">
      <alignment horizontal="left" vertical="center"/>
    </xf>
    <xf numFmtId="175" fontId="6" fillId="0" borderId="0" xfId="4" applyFont="1" applyBorder="1" applyAlignment="1">
      <alignment horizontal="left" vertical="center"/>
    </xf>
    <xf numFmtId="172" fontId="11" fillId="0" borderId="0" xfId="0" applyFont="1" applyAlignment="1">
      <alignment vertical="center"/>
    </xf>
    <xf numFmtId="172" fontId="11" fillId="0" borderId="0" xfId="0" applyFont="1" applyBorder="1" applyAlignment="1">
      <alignment vertical="center"/>
    </xf>
    <xf numFmtId="172" fontId="9" fillId="0" borderId="0" xfId="0" applyFont="1" applyAlignment="1">
      <alignment horizontal="left"/>
    </xf>
    <xf numFmtId="0" fontId="8" fillId="0" borderId="0" xfId="7" applyFont="1" applyBorder="1" applyAlignment="1">
      <alignment horizontal="left"/>
    </xf>
    <xf numFmtId="172" fontId="9" fillId="0" borderId="0" xfId="0" applyFont="1" applyBorder="1" applyAlignment="1">
      <alignment horizontal="left"/>
    </xf>
    <xf numFmtId="172" fontId="6" fillId="0" borderId="0" xfId="0" applyFont="1" applyBorder="1" applyAlignment="1">
      <alignment horizontal="left"/>
    </xf>
    <xf numFmtId="0" fontId="12" fillId="0" borderId="0" xfId="7" applyFont="1" applyAlignment="1">
      <alignment horizontal="left"/>
    </xf>
    <xf numFmtId="172" fontId="13" fillId="0" borderId="0" xfId="0" applyFont="1" applyBorder="1" applyAlignment="1">
      <alignment horizontal="left"/>
    </xf>
    <xf numFmtId="172" fontId="13" fillId="0" borderId="0" xfId="0" applyFont="1" applyAlignment="1">
      <alignment horizontal="left"/>
    </xf>
    <xf numFmtId="0" fontId="12" fillId="0" borderId="0" xfId="7" applyFont="1" applyBorder="1" applyAlignment="1">
      <alignment horizontal="left"/>
    </xf>
    <xf numFmtId="0" fontId="6" fillId="0" borderId="0" xfId="7" applyFont="1" applyBorder="1" applyAlignment="1">
      <alignment horizontal="left"/>
    </xf>
    <xf numFmtId="0" fontId="13" fillId="0" borderId="0" xfId="2" applyFont="1" applyBorder="1" applyAlignment="1">
      <alignment horizontal="center" vertical="center"/>
    </xf>
    <xf numFmtId="0" fontId="13" fillId="0" borderId="5" xfId="2" applyFont="1" applyBorder="1" applyAlignment="1">
      <alignment horizontal="center"/>
    </xf>
    <xf numFmtId="0" fontId="13" fillId="0" borderId="6" xfId="5" applyFont="1" applyBorder="1" applyAlignment="1">
      <alignment horizontal="center" vertical="center"/>
    </xf>
    <xf numFmtId="0" fontId="13" fillId="0" borderId="1" xfId="5" applyFont="1" applyBorder="1" applyAlignment="1">
      <alignment horizontal="center" vertical="center"/>
    </xf>
    <xf numFmtId="0" fontId="13" fillId="0" borderId="7" xfId="2" applyFont="1" applyBorder="1" applyAlignment="1">
      <alignment horizontal="center" vertical="center"/>
    </xf>
    <xf numFmtId="0" fontId="13" fillId="0" borderId="5" xfId="2" applyFont="1" applyBorder="1" applyAlignment="1">
      <alignment horizontal="center" vertical="center"/>
    </xf>
    <xf numFmtId="172" fontId="13" fillId="0" borderId="7" xfId="0" applyFont="1" applyBorder="1" applyAlignment="1">
      <alignment horizontal="center" vertical="center"/>
    </xf>
    <xf numFmtId="172" fontId="13" fillId="0" borderId="0" xfId="0" applyFont="1" applyBorder="1" applyAlignment="1">
      <alignment horizontal="center" vertical="center"/>
    </xf>
    <xf numFmtId="172" fontId="13" fillId="0" borderId="0" xfId="0" applyFont="1" applyBorder="1" applyAlignment="1">
      <alignment horizontal="center"/>
    </xf>
    <xf numFmtId="0" fontId="13" fillId="0" borderId="6" xfId="2" applyFont="1" applyBorder="1" applyAlignment="1">
      <alignment horizontal="center" vertical="center"/>
    </xf>
    <xf numFmtId="0" fontId="13" fillId="0" borderId="8" xfId="5" applyFont="1" applyBorder="1" applyAlignment="1">
      <alignment horizontal="center" vertical="center"/>
    </xf>
    <xf numFmtId="0" fontId="13" fillId="0" borderId="0" xfId="5" applyFont="1" applyBorder="1" applyAlignment="1">
      <alignment horizontal="center" vertical="center"/>
    </xf>
    <xf numFmtId="0" fontId="13" fillId="0" borderId="8" xfId="2" applyFont="1" applyBorder="1" applyAlignment="1">
      <alignment horizontal="center" vertical="center"/>
    </xf>
    <xf numFmtId="0" fontId="13" fillId="0" borderId="9" xfId="2" applyFont="1" applyBorder="1" applyAlignment="1">
      <alignment horizontal="center" vertical="center"/>
    </xf>
    <xf numFmtId="172" fontId="13" fillId="0" borderId="9" xfId="0" applyFont="1" applyBorder="1" applyAlignment="1">
      <alignment horizontal="center" vertical="center"/>
    </xf>
    <xf numFmtId="172" fontId="13" fillId="0" borderId="1" xfId="0" applyFont="1" applyBorder="1" applyAlignment="1">
      <alignment horizontal="center" vertical="center"/>
    </xf>
    <xf numFmtId="172" fontId="13" fillId="0" borderId="8" xfId="0" applyFont="1" applyBorder="1" applyAlignment="1">
      <alignment horizontal="center" vertical="center"/>
    </xf>
    <xf numFmtId="0" fontId="13" fillId="0" borderId="1" xfId="2" applyFont="1" applyBorder="1" applyAlignment="1">
      <alignment horizontal="center" vertical="center"/>
    </xf>
    <xf numFmtId="0" fontId="13" fillId="0" borderId="8" xfId="0" applyNumberFormat="1" applyFont="1" applyBorder="1" applyAlignment="1">
      <alignment horizontal="center" vertical="center"/>
    </xf>
    <xf numFmtId="172" fontId="13" fillId="0" borderId="6" xfId="0" applyFont="1" applyFill="1" applyBorder="1" applyAlignment="1">
      <alignment horizontal="center"/>
    </xf>
    <xf numFmtId="172" fontId="13" fillId="0" borderId="1" xfId="0" applyFont="1" applyBorder="1" applyAlignment="1">
      <alignment horizontal="center"/>
    </xf>
    <xf numFmtId="172" fontId="14" fillId="0" borderId="8" xfId="0" applyFont="1" applyBorder="1" applyAlignment="1">
      <alignment horizontal="center" vertical="center"/>
    </xf>
    <xf numFmtId="172" fontId="13" fillId="0" borderId="6" xfId="0" applyFont="1" applyBorder="1" applyAlignment="1">
      <alignment horizontal="center"/>
    </xf>
    <xf numFmtId="172" fontId="13" fillId="0" borderId="0" xfId="0" applyFont="1" applyAlignment="1">
      <alignment horizontal="center"/>
    </xf>
    <xf numFmtId="172" fontId="13" fillId="0" borderId="1" xfId="0" applyFont="1" applyBorder="1" applyAlignment="1">
      <alignment horizontal="center" vertical="justify"/>
    </xf>
    <xf numFmtId="172" fontId="13" fillId="0" borderId="0" xfId="0" applyFont="1" applyFill="1" applyBorder="1" applyAlignment="1">
      <alignment horizontal="center"/>
    </xf>
    <xf numFmtId="172" fontId="13" fillId="0" borderId="10" xfId="0" applyFont="1" applyFill="1" applyBorder="1" applyAlignment="1">
      <alignment horizontal="center"/>
    </xf>
    <xf numFmtId="172" fontId="13" fillId="0" borderId="6" xfId="0" applyFont="1" applyBorder="1" applyAlignment="1">
      <alignment horizontal="center" vertical="center"/>
    </xf>
    <xf numFmtId="172" fontId="13" fillId="0" borderId="11" xfId="0" applyFont="1" applyBorder="1" applyAlignment="1">
      <alignment horizontal="center"/>
    </xf>
    <xf numFmtId="172" fontId="13" fillId="0" borderId="2" xfId="0" applyFont="1" applyBorder="1" applyAlignment="1">
      <alignment horizontal="center"/>
    </xf>
    <xf numFmtId="172" fontId="13" fillId="0" borderId="2" xfId="0" applyFont="1" applyBorder="1" applyAlignment="1">
      <alignment horizontal="center" vertical="justify"/>
    </xf>
    <xf numFmtId="172" fontId="13" fillId="0" borderId="11" xfId="0" applyFont="1" applyBorder="1" applyAlignment="1">
      <alignment horizontal="center" vertical="center"/>
    </xf>
    <xf numFmtId="172" fontId="13" fillId="0" borderId="12" xfId="0" applyFont="1" applyBorder="1" applyAlignment="1">
      <alignment horizontal="center" vertical="center"/>
    </xf>
    <xf numFmtId="174" fontId="13" fillId="0" borderId="13" xfId="6" applyNumberFormat="1" applyFont="1" applyBorder="1" applyAlignment="1">
      <alignment vertical="center"/>
    </xf>
    <xf numFmtId="173" fontId="13" fillId="0" borderId="14" xfId="3" applyFont="1" applyBorder="1" applyAlignment="1">
      <alignment horizontal="center" vertical="center"/>
    </xf>
    <xf numFmtId="173" fontId="13" fillId="0" borderId="15" xfId="3" applyFont="1" applyBorder="1" applyAlignment="1">
      <alignment horizontal="center" vertical="center"/>
    </xf>
    <xf numFmtId="173" fontId="13" fillId="0" borderId="3" xfId="3" applyFont="1" applyBorder="1" applyAlignment="1">
      <alignment horizontal="center" vertical="center"/>
    </xf>
    <xf numFmtId="173" fontId="13" fillId="0" borderId="14" xfId="3" applyFont="1" applyFill="1" applyBorder="1" applyAlignment="1">
      <alignment horizontal="center" vertical="center"/>
    </xf>
    <xf numFmtId="172" fontId="13" fillId="0" borderId="15" xfId="0" applyFont="1" applyBorder="1" applyAlignment="1">
      <alignment vertical="center"/>
    </xf>
    <xf numFmtId="174" fontId="12" fillId="0" borderId="0" xfId="8" applyNumberFormat="1" applyFont="1" applyBorder="1" applyAlignment="1">
      <alignment vertical="center"/>
    </xf>
    <xf numFmtId="176" fontId="12" fillId="0" borderId="8" xfId="1" applyNumberFormat="1" applyFont="1" applyBorder="1" applyAlignment="1">
      <alignment horizontal="right" vertical="center"/>
    </xf>
    <xf numFmtId="176" fontId="12" fillId="0" borderId="9" xfId="1" applyNumberFormat="1" applyFont="1" applyBorder="1" applyAlignment="1">
      <alignment horizontal="right" vertical="center"/>
    </xf>
    <xf numFmtId="176" fontId="12" fillId="0" borderId="1" xfId="1" applyNumberFormat="1" applyFont="1" applyBorder="1" applyAlignment="1">
      <alignment horizontal="right" vertical="center"/>
    </xf>
    <xf numFmtId="176" fontId="12" fillId="0" borderId="6" xfId="1" applyNumberFormat="1" applyFont="1" applyBorder="1" applyAlignment="1">
      <alignment horizontal="right" vertical="center"/>
    </xf>
    <xf numFmtId="177" fontId="12" fillId="0" borderId="1" xfId="1" applyNumberFormat="1" applyFont="1" applyBorder="1" applyAlignment="1">
      <alignment horizontal="right" vertical="center"/>
    </xf>
    <xf numFmtId="172" fontId="12" fillId="0" borderId="0" xfId="8" applyFont="1" applyBorder="1" applyAlignment="1">
      <alignment vertical="center"/>
    </xf>
    <xf numFmtId="172" fontId="12" fillId="0" borderId="0" xfId="8" applyFont="1" applyAlignment="1">
      <alignment vertical="center"/>
    </xf>
    <xf numFmtId="174" fontId="13" fillId="0" borderId="0" xfId="6" applyNumberFormat="1" applyFont="1" applyBorder="1" applyAlignment="1">
      <alignment vertical="center"/>
    </xf>
    <xf numFmtId="176" fontId="13" fillId="0" borderId="6" xfId="1" applyNumberFormat="1" applyFont="1" applyBorder="1" applyAlignment="1">
      <alignment horizontal="right" vertical="center"/>
    </xf>
    <xf numFmtId="176" fontId="13" fillId="0" borderId="1" xfId="1" applyNumberFormat="1" applyFont="1" applyBorder="1" applyAlignment="1">
      <alignment horizontal="right" vertical="center"/>
    </xf>
    <xf numFmtId="177" fontId="13" fillId="0" borderId="1" xfId="1" applyNumberFormat="1" applyFont="1" applyBorder="1" applyAlignment="1">
      <alignment horizontal="right" vertical="center"/>
    </xf>
    <xf numFmtId="172" fontId="13" fillId="0" borderId="0" xfId="0" applyFont="1" applyAlignment="1">
      <alignment vertical="center"/>
    </xf>
    <xf numFmtId="177" fontId="13" fillId="0" borderId="6" xfId="1" applyNumberFormat="1" applyFont="1" applyBorder="1" applyAlignment="1">
      <alignment horizontal="right" vertical="center"/>
    </xf>
    <xf numFmtId="174" fontId="13" fillId="0" borderId="10" xfId="6" applyNumberFormat="1" applyFont="1" applyBorder="1" applyAlignment="1">
      <alignment vertical="center"/>
    </xf>
    <xf numFmtId="176" fontId="13" fillId="0" borderId="10" xfId="1" applyNumberFormat="1" applyFont="1" applyBorder="1" applyAlignment="1">
      <alignment horizontal="right" vertical="center"/>
    </xf>
    <xf numFmtId="172" fontId="12" fillId="0" borderId="0" xfId="0" applyFont="1" applyAlignment="1">
      <alignment vertical="center"/>
    </xf>
    <xf numFmtId="174" fontId="12" fillId="0" borderId="0" xfId="6" applyNumberFormat="1" applyFont="1" applyBorder="1" applyAlignment="1">
      <alignment vertical="center"/>
    </xf>
    <xf numFmtId="0" fontId="7" fillId="0" borderId="0" xfId="7" applyFont="1" applyAlignment="1">
      <alignment horizontal="left"/>
    </xf>
    <xf numFmtId="0" fontId="13" fillId="0" borderId="0" xfId="7" applyFont="1" applyBorder="1" applyAlignment="1">
      <alignment horizontal="left"/>
    </xf>
    <xf numFmtId="174" fontId="12" fillId="0" borderId="16" xfId="6" applyNumberFormat="1" applyFont="1" applyBorder="1" applyAlignment="1">
      <alignment vertical="center"/>
    </xf>
    <xf numFmtId="176" fontId="12" fillId="0" borderId="11" xfId="1" applyNumberFormat="1" applyFont="1" applyBorder="1" applyAlignment="1">
      <alignment horizontal="right" vertical="center"/>
    </xf>
    <xf numFmtId="176" fontId="12" fillId="0" borderId="2" xfId="1" applyNumberFormat="1" applyFont="1" applyBorder="1" applyAlignment="1">
      <alignment horizontal="right" vertical="center"/>
    </xf>
    <xf numFmtId="177" fontId="12" fillId="0" borderId="2" xfId="1" applyNumberFormat="1" applyFont="1" applyBorder="1" applyAlignment="1">
      <alignment horizontal="right" vertical="center"/>
    </xf>
    <xf numFmtId="172" fontId="7" fillId="0" borderId="0" xfId="0" applyFont="1" applyAlignment="1">
      <alignment horizontal="left"/>
    </xf>
    <xf numFmtId="172" fontId="13" fillId="0" borderId="17" xfId="0" applyFont="1" applyBorder="1" applyAlignment="1">
      <alignment horizontal="center" vertical="center"/>
    </xf>
    <xf numFmtId="172" fontId="13" fillId="0" borderId="18" xfId="0" applyFont="1" applyBorder="1" applyAlignment="1">
      <alignment horizontal="center" vertical="center"/>
    </xf>
    <xf numFmtId="172" fontId="13" fillId="0" borderId="19" xfId="0" applyFont="1" applyBorder="1" applyAlignment="1">
      <alignment horizontal="center" vertical="center"/>
    </xf>
    <xf numFmtId="0" fontId="13" fillId="0" borderId="17" xfId="2" applyFont="1" applyBorder="1" applyAlignment="1">
      <alignment horizontal="center" vertical="center"/>
    </xf>
    <xf numFmtId="0" fontId="13" fillId="0" borderId="18" xfId="2" applyFont="1" applyBorder="1" applyAlignment="1">
      <alignment horizontal="center" vertical="center"/>
    </xf>
    <xf numFmtId="0" fontId="13" fillId="0" borderId="19" xfId="2" applyFont="1" applyBorder="1" applyAlignment="1">
      <alignment horizontal="center" vertical="center"/>
    </xf>
    <xf numFmtId="0" fontId="13" fillId="0" borderId="3" xfId="2" applyFont="1" applyBorder="1" applyAlignment="1">
      <alignment horizontal="center" vertical="center"/>
    </xf>
    <xf numFmtId="0" fontId="13" fillId="0" borderId="15" xfId="2" applyFont="1" applyBorder="1" applyAlignment="1">
      <alignment horizontal="center" vertical="center"/>
    </xf>
    <xf numFmtId="0" fontId="13" fillId="0" borderId="22" xfId="2" applyFont="1" applyBorder="1" applyAlignment="1">
      <alignment horizontal="center" vertical="center"/>
    </xf>
    <xf numFmtId="172" fontId="14" fillId="0" borderId="15" xfId="0" applyFont="1" applyBorder="1" applyAlignment="1">
      <alignment horizontal="center" vertical="center"/>
    </xf>
    <xf numFmtId="172" fontId="14" fillId="0" borderId="22" xfId="0" applyFont="1" applyBorder="1" applyAlignment="1">
      <alignment horizontal="center" vertical="center"/>
    </xf>
    <xf numFmtId="172" fontId="14" fillId="0" borderId="18" xfId="0" applyFont="1" applyBorder="1" applyAlignment="1">
      <alignment horizontal="center" vertical="center"/>
    </xf>
    <xf numFmtId="0" fontId="13" fillId="0" borderId="7" xfId="2" applyFont="1" applyBorder="1" applyAlignment="1">
      <alignment horizontal="center" vertical="center"/>
    </xf>
    <xf numFmtId="172" fontId="14" fillId="0" borderId="20" xfId="0" applyFont="1" applyBorder="1" applyAlignment="1">
      <alignment horizontal="center" vertical="center"/>
    </xf>
    <xf numFmtId="172" fontId="14" fillId="0" borderId="21" xfId="0" applyFont="1" applyBorder="1" applyAlignment="1">
      <alignment horizontal="center" vertical="center"/>
    </xf>
  </cellXfs>
  <cellStyles count="9">
    <cellStyle name="Migliaia" xfId="1" builtinId="3"/>
    <cellStyle name="Normale" xfId="0" builtinId="0"/>
    <cellStyle name="style_col_headings" xfId="2" xr:uid="{1B7722EC-358D-495C-980F-D9A1A9CCF2F1}"/>
    <cellStyle name="style_col_numbers" xfId="3" xr:uid="{61A93D79-D8F2-4DBC-BCE2-05E800490AD0}"/>
    <cellStyle name="style_footnotes" xfId="4" xr:uid="{5377AD06-5E2B-4DBD-92CF-28A3C154E654}"/>
    <cellStyle name="style_spanners" xfId="5" xr:uid="{E631B288-524B-4C1C-9AF9-23D8AF90AD62}"/>
    <cellStyle name="style_stub_lines" xfId="6" xr:uid="{6DA566D5-C60F-4D37-8B3B-66E78885C6CF}"/>
    <cellStyle name="style_titles" xfId="7" xr:uid="{64051DFB-D461-43DE-9C17-0FD7C6EE5507}"/>
    <cellStyle name="style_totals" xfId="8" xr:uid="{291FCA51-7FC7-4C86-A977-4FD660F619A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79</xdr:row>
      <xdr:rowOff>49530</xdr:rowOff>
    </xdr:from>
    <xdr:to>
      <xdr:col>9</xdr:col>
      <xdr:colOff>0</xdr:colOff>
      <xdr:row>80</xdr:row>
      <xdr:rowOff>48006</xdr:rowOff>
    </xdr:to>
    <xdr:sp macro="" textlink="">
      <xdr:nvSpPr>
        <xdr:cNvPr id="2" name="Text Box 18">
          <a:extLst>
            <a:ext uri="{FF2B5EF4-FFF2-40B4-BE49-F238E27FC236}">
              <a16:creationId xmlns:a16="http://schemas.microsoft.com/office/drawing/2014/main" id="{DAF18437-22D0-5405-6B13-1E5328D6B656}"/>
            </a:ext>
          </a:extLst>
        </xdr:cNvPr>
        <xdr:cNvSpPr txBox="1">
          <a:spLocks noChangeArrowheads="1"/>
        </xdr:cNvSpPr>
      </xdr:nvSpPr>
      <xdr:spPr bwMode="auto">
        <a:xfrm>
          <a:off x="6810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645795</xdr:colOff>
      <xdr:row>79</xdr:row>
      <xdr:rowOff>49530</xdr:rowOff>
    </xdr:from>
    <xdr:to>
      <xdr:col>18</xdr:col>
      <xdr:colOff>645795</xdr:colOff>
      <xdr:row>80</xdr:row>
      <xdr:rowOff>48006</xdr:rowOff>
    </xdr:to>
    <xdr:sp macro="" textlink="">
      <xdr:nvSpPr>
        <xdr:cNvPr id="3" name="Text Box 19">
          <a:extLst>
            <a:ext uri="{FF2B5EF4-FFF2-40B4-BE49-F238E27FC236}">
              <a16:creationId xmlns:a16="http://schemas.microsoft.com/office/drawing/2014/main" id="{9B2815A4-5EE3-76E4-873C-F6F04A06CA09}"/>
            </a:ext>
          </a:extLst>
        </xdr:cNvPr>
        <xdr:cNvSpPr txBox="1">
          <a:spLocks noChangeArrowheads="1"/>
        </xdr:cNvSpPr>
      </xdr:nvSpPr>
      <xdr:spPr bwMode="auto">
        <a:xfrm>
          <a:off x="173259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29</xdr:col>
      <xdr:colOff>0</xdr:colOff>
      <xdr:row>79</xdr:row>
      <xdr:rowOff>49530</xdr:rowOff>
    </xdr:from>
    <xdr:to>
      <xdr:col>29</xdr:col>
      <xdr:colOff>0</xdr:colOff>
      <xdr:row>80</xdr:row>
      <xdr:rowOff>48006</xdr:rowOff>
    </xdr:to>
    <xdr:sp macro="" textlink="">
      <xdr:nvSpPr>
        <xdr:cNvPr id="4" name="Text Box 20">
          <a:extLst>
            <a:ext uri="{FF2B5EF4-FFF2-40B4-BE49-F238E27FC236}">
              <a16:creationId xmlns:a16="http://schemas.microsoft.com/office/drawing/2014/main" id="{82D298C0-40C2-912A-2F6C-875E7C8600C5}"/>
            </a:ext>
          </a:extLst>
        </xdr:cNvPr>
        <xdr:cNvSpPr txBox="1">
          <a:spLocks noChangeArrowheads="1"/>
        </xdr:cNvSpPr>
      </xdr:nvSpPr>
      <xdr:spPr bwMode="auto">
        <a:xfrm>
          <a:off x="26241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39</xdr:col>
      <xdr:colOff>0</xdr:colOff>
      <xdr:row>79</xdr:row>
      <xdr:rowOff>59055</xdr:rowOff>
    </xdr:from>
    <xdr:to>
      <xdr:col>39</xdr:col>
      <xdr:colOff>0</xdr:colOff>
      <xdr:row>80</xdr:row>
      <xdr:rowOff>49530</xdr:rowOff>
    </xdr:to>
    <xdr:sp macro="" textlink="">
      <xdr:nvSpPr>
        <xdr:cNvPr id="5" name="Text Box 21">
          <a:extLst>
            <a:ext uri="{FF2B5EF4-FFF2-40B4-BE49-F238E27FC236}">
              <a16:creationId xmlns:a16="http://schemas.microsoft.com/office/drawing/2014/main" id="{2778BE6F-0575-C499-8C54-0AE9531D50CA}"/>
            </a:ext>
          </a:extLst>
        </xdr:cNvPr>
        <xdr:cNvSpPr txBox="1">
          <a:spLocks noChangeArrowheads="1"/>
        </xdr:cNvSpPr>
      </xdr:nvSpPr>
      <xdr:spPr bwMode="auto">
        <a:xfrm>
          <a:off x="34766250" y="931545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49</xdr:col>
      <xdr:colOff>0</xdr:colOff>
      <xdr:row>79</xdr:row>
      <xdr:rowOff>49530</xdr:rowOff>
    </xdr:from>
    <xdr:to>
      <xdr:col>49</xdr:col>
      <xdr:colOff>0</xdr:colOff>
      <xdr:row>80</xdr:row>
      <xdr:rowOff>48006</xdr:rowOff>
    </xdr:to>
    <xdr:sp macro="" textlink="">
      <xdr:nvSpPr>
        <xdr:cNvPr id="6" name="Text Box 22">
          <a:extLst>
            <a:ext uri="{FF2B5EF4-FFF2-40B4-BE49-F238E27FC236}">
              <a16:creationId xmlns:a16="http://schemas.microsoft.com/office/drawing/2014/main" id="{33BB8246-14A2-8B18-1B7F-8E3AF04C616E}"/>
            </a:ext>
          </a:extLst>
        </xdr:cNvPr>
        <xdr:cNvSpPr txBox="1">
          <a:spLocks noChangeArrowheads="1"/>
        </xdr:cNvSpPr>
      </xdr:nvSpPr>
      <xdr:spPr bwMode="auto">
        <a:xfrm>
          <a:off x="427101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8" name="Text Box 24">
          <a:extLst>
            <a:ext uri="{FF2B5EF4-FFF2-40B4-BE49-F238E27FC236}">
              <a16:creationId xmlns:a16="http://schemas.microsoft.com/office/drawing/2014/main" id="{1F3D17B6-957D-FD02-4D68-BAAC153EEF63}"/>
            </a:ext>
          </a:extLst>
        </xdr:cNvPr>
        <xdr:cNvSpPr txBox="1">
          <a:spLocks noChangeArrowheads="1"/>
        </xdr:cNvSpPr>
      </xdr:nvSpPr>
      <xdr:spPr bwMode="auto">
        <a:xfrm>
          <a:off x="646842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643890</xdr:colOff>
      <xdr:row>82</xdr:row>
      <xdr:rowOff>49530</xdr:rowOff>
    </xdr:from>
    <xdr:to>
      <xdr:col>9</xdr:col>
      <xdr:colOff>1905</xdr:colOff>
      <xdr:row>83</xdr:row>
      <xdr:rowOff>423</xdr:rowOff>
    </xdr:to>
    <xdr:sp macro="" textlink="">
      <xdr:nvSpPr>
        <xdr:cNvPr id="9" name="Text Box 34">
          <a:extLst>
            <a:ext uri="{FF2B5EF4-FFF2-40B4-BE49-F238E27FC236}">
              <a16:creationId xmlns:a16="http://schemas.microsoft.com/office/drawing/2014/main" id="{8839FA29-3B9A-2C7D-28C4-14409819A5B6}"/>
            </a:ext>
          </a:extLst>
        </xdr:cNvPr>
        <xdr:cNvSpPr txBox="1">
          <a:spLocks noChangeArrowheads="1"/>
        </xdr:cNvSpPr>
      </xdr:nvSpPr>
      <xdr:spPr bwMode="auto">
        <a:xfrm>
          <a:off x="6810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82</xdr:row>
      <xdr:rowOff>49530</xdr:rowOff>
    </xdr:from>
    <xdr:to>
      <xdr:col>19</xdr:col>
      <xdr:colOff>1905</xdr:colOff>
      <xdr:row>83</xdr:row>
      <xdr:rowOff>423</xdr:rowOff>
    </xdr:to>
    <xdr:sp macro="" textlink="">
      <xdr:nvSpPr>
        <xdr:cNvPr id="10" name="Text Box 35">
          <a:extLst>
            <a:ext uri="{FF2B5EF4-FFF2-40B4-BE49-F238E27FC236}">
              <a16:creationId xmlns:a16="http://schemas.microsoft.com/office/drawing/2014/main" id="{A79A41FE-E950-B3D0-1E62-C9E8CD059D3E}"/>
            </a:ext>
          </a:extLst>
        </xdr:cNvPr>
        <xdr:cNvSpPr txBox="1">
          <a:spLocks noChangeArrowheads="1"/>
        </xdr:cNvSpPr>
      </xdr:nvSpPr>
      <xdr:spPr bwMode="auto">
        <a:xfrm>
          <a:off x="173259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82</xdr:row>
      <xdr:rowOff>49530</xdr:rowOff>
    </xdr:from>
    <xdr:to>
      <xdr:col>29</xdr:col>
      <xdr:colOff>1905</xdr:colOff>
      <xdr:row>83</xdr:row>
      <xdr:rowOff>423</xdr:rowOff>
    </xdr:to>
    <xdr:sp macro="" textlink="">
      <xdr:nvSpPr>
        <xdr:cNvPr id="11" name="Text Box 36">
          <a:extLst>
            <a:ext uri="{FF2B5EF4-FFF2-40B4-BE49-F238E27FC236}">
              <a16:creationId xmlns:a16="http://schemas.microsoft.com/office/drawing/2014/main" id="{954A4CD9-8908-7654-BFEC-CB6693924D8C}"/>
            </a:ext>
          </a:extLst>
        </xdr:cNvPr>
        <xdr:cNvSpPr txBox="1">
          <a:spLocks noChangeArrowheads="1"/>
        </xdr:cNvSpPr>
      </xdr:nvSpPr>
      <xdr:spPr bwMode="auto">
        <a:xfrm>
          <a:off x="26241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82</xdr:row>
      <xdr:rowOff>49530</xdr:rowOff>
    </xdr:from>
    <xdr:to>
      <xdr:col>39</xdr:col>
      <xdr:colOff>1905</xdr:colOff>
      <xdr:row>83</xdr:row>
      <xdr:rowOff>423</xdr:rowOff>
    </xdr:to>
    <xdr:sp macro="" textlink="">
      <xdr:nvSpPr>
        <xdr:cNvPr id="12" name="Text Box 37">
          <a:extLst>
            <a:ext uri="{FF2B5EF4-FFF2-40B4-BE49-F238E27FC236}">
              <a16:creationId xmlns:a16="http://schemas.microsoft.com/office/drawing/2014/main" id="{905FFCD9-0B89-32A4-2267-0DF6C64F30A5}"/>
            </a:ext>
          </a:extLst>
        </xdr:cNvPr>
        <xdr:cNvSpPr txBox="1">
          <a:spLocks noChangeArrowheads="1"/>
        </xdr:cNvSpPr>
      </xdr:nvSpPr>
      <xdr:spPr bwMode="auto">
        <a:xfrm>
          <a:off x="34766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82</xdr:row>
      <xdr:rowOff>49530</xdr:rowOff>
    </xdr:from>
    <xdr:to>
      <xdr:col>49</xdr:col>
      <xdr:colOff>1905</xdr:colOff>
      <xdr:row>83</xdr:row>
      <xdr:rowOff>423</xdr:rowOff>
    </xdr:to>
    <xdr:sp macro="" textlink="">
      <xdr:nvSpPr>
        <xdr:cNvPr id="13" name="Text Box 38">
          <a:extLst>
            <a:ext uri="{FF2B5EF4-FFF2-40B4-BE49-F238E27FC236}">
              <a16:creationId xmlns:a16="http://schemas.microsoft.com/office/drawing/2014/main" id="{3D91E80E-F396-CF58-59A8-7A000255EEAA}"/>
            </a:ext>
          </a:extLst>
        </xdr:cNvPr>
        <xdr:cNvSpPr txBox="1">
          <a:spLocks noChangeArrowheads="1"/>
        </xdr:cNvSpPr>
      </xdr:nvSpPr>
      <xdr:spPr bwMode="auto">
        <a:xfrm>
          <a:off x="427101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82</xdr:row>
      <xdr:rowOff>49530</xdr:rowOff>
    </xdr:from>
    <xdr:to>
      <xdr:col>71</xdr:col>
      <xdr:colOff>1905</xdr:colOff>
      <xdr:row>83</xdr:row>
      <xdr:rowOff>423</xdr:rowOff>
    </xdr:to>
    <xdr:sp macro="" textlink="">
      <xdr:nvSpPr>
        <xdr:cNvPr id="15" name="Text Box 40">
          <a:extLst>
            <a:ext uri="{FF2B5EF4-FFF2-40B4-BE49-F238E27FC236}">
              <a16:creationId xmlns:a16="http://schemas.microsoft.com/office/drawing/2014/main" id="{DA442611-8E32-FE87-F0EC-70B2BC7898CD}"/>
            </a:ext>
          </a:extLst>
        </xdr:cNvPr>
        <xdr:cNvSpPr txBox="1">
          <a:spLocks noChangeArrowheads="1"/>
        </xdr:cNvSpPr>
      </xdr:nvSpPr>
      <xdr:spPr bwMode="auto">
        <a:xfrm>
          <a:off x="646842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16" name="Text Box 41">
          <a:extLst>
            <a:ext uri="{FF2B5EF4-FFF2-40B4-BE49-F238E27FC236}">
              <a16:creationId xmlns:a16="http://schemas.microsoft.com/office/drawing/2014/main" id="{62E8E24E-35FD-164B-6258-22B224983A85}"/>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7" name="Text Box 42">
          <a:extLst>
            <a:ext uri="{FF2B5EF4-FFF2-40B4-BE49-F238E27FC236}">
              <a16:creationId xmlns:a16="http://schemas.microsoft.com/office/drawing/2014/main" id="{6A48B187-ABEF-B050-62C6-263BF1662047}"/>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18" name="Text Box 43">
          <a:extLst>
            <a:ext uri="{FF2B5EF4-FFF2-40B4-BE49-F238E27FC236}">
              <a16:creationId xmlns:a16="http://schemas.microsoft.com/office/drawing/2014/main" id="{BF105FEC-BBF4-9029-75D8-C908939C3758}"/>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9" name="Text Box 44">
          <a:extLst>
            <a:ext uri="{FF2B5EF4-FFF2-40B4-BE49-F238E27FC236}">
              <a16:creationId xmlns:a16="http://schemas.microsoft.com/office/drawing/2014/main" id="{8BAB8A12-69E9-E44D-5B1F-489FFA98BEC7}"/>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20" name="Text Box 45">
          <a:extLst>
            <a:ext uri="{FF2B5EF4-FFF2-40B4-BE49-F238E27FC236}">
              <a16:creationId xmlns:a16="http://schemas.microsoft.com/office/drawing/2014/main" id="{90C1E5C3-857A-0FB9-9230-8DDAA5A0BDEB}"/>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21" name="Text Box 46">
          <a:extLst>
            <a:ext uri="{FF2B5EF4-FFF2-40B4-BE49-F238E27FC236}">
              <a16:creationId xmlns:a16="http://schemas.microsoft.com/office/drawing/2014/main" id="{053C59FC-1DE5-1A01-A148-A25295E81218}"/>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22" name="Text Box 47">
          <a:extLst>
            <a:ext uri="{FF2B5EF4-FFF2-40B4-BE49-F238E27FC236}">
              <a16:creationId xmlns:a16="http://schemas.microsoft.com/office/drawing/2014/main" id="{C7365AC0-853B-361B-2FA4-D92622F5C30B}"/>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23" name="Text Box 48">
          <a:extLst>
            <a:ext uri="{FF2B5EF4-FFF2-40B4-BE49-F238E27FC236}">
              <a16:creationId xmlns:a16="http://schemas.microsoft.com/office/drawing/2014/main" id="{F498B666-6F21-7E3C-A1F9-7B15A35A072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80</xdr:row>
      <xdr:rowOff>49530</xdr:rowOff>
    </xdr:from>
    <xdr:to>
      <xdr:col>73</xdr:col>
      <xdr:colOff>0</xdr:colOff>
      <xdr:row>81</xdr:row>
      <xdr:rowOff>48006</xdr:rowOff>
    </xdr:to>
    <xdr:sp macro="" textlink="">
      <xdr:nvSpPr>
        <xdr:cNvPr id="28" name="Text Box 53">
          <a:extLst>
            <a:ext uri="{FF2B5EF4-FFF2-40B4-BE49-F238E27FC236}">
              <a16:creationId xmlns:a16="http://schemas.microsoft.com/office/drawing/2014/main" id="{BB106F78-A871-5C27-7A45-40C61996E955}"/>
            </a:ext>
          </a:extLst>
        </xdr:cNvPr>
        <xdr:cNvSpPr txBox="1">
          <a:spLocks noChangeArrowheads="1"/>
        </xdr:cNvSpPr>
      </xdr:nvSpPr>
      <xdr:spPr bwMode="auto">
        <a:xfrm>
          <a:off x="6587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73</xdr:col>
      <xdr:colOff>0</xdr:colOff>
      <xdr:row>83</xdr:row>
      <xdr:rowOff>0</xdr:rowOff>
    </xdr:from>
    <xdr:to>
      <xdr:col>73</xdr:col>
      <xdr:colOff>0</xdr:colOff>
      <xdr:row>83</xdr:row>
      <xdr:rowOff>0</xdr:rowOff>
    </xdr:to>
    <xdr:sp macro="" textlink="">
      <xdr:nvSpPr>
        <xdr:cNvPr id="29" name="Text Box 54">
          <a:extLst>
            <a:ext uri="{FF2B5EF4-FFF2-40B4-BE49-F238E27FC236}">
              <a16:creationId xmlns:a16="http://schemas.microsoft.com/office/drawing/2014/main" id="{343B7A0D-18E2-EFEF-F6F6-B91E1EE0C4C6}"/>
            </a:ext>
          </a:extLst>
        </xdr:cNvPr>
        <xdr:cNvSpPr txBox="1">
          <a:spLocks noChangeArrowheads="1"/>
        </xdr:cNvSpPr>
      </xdr:nvSpPr>
      <xdr:spPr bwMode="auto">
        <a:xfrm>
          <a:off x="6587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80</xdr:row>
      <xdr:rowOff>49530</xdr:rowOff>
    </xdr:from>
    <xdr:to>
      <xdr:col>62</xdr:col>
      <xdr:colOff>0</xdr:colOff>
      <xdr:row>81</xdr:row>
      <xdr:rowOff>48006</xdr:rowOff>
    </xdr:to>
    <xdr:sp macro="" textlink="">
      <xdr:nvSpPr>
        <xdr:cNvPr id="34" name="Text Box 59">
          <a:extLst>
            <a:ext uri="{FF2B5EF4-FFF2-40B4-BE49-F238E27FC236}">
              <a16:creationId xmlns:a16="http://schemas.microsoft.com/office/drawing/2014/main" id="{444D2C0A-81D1-0C5D-AEFA-2E28CAEC7866}"/>
            </a:ext>
          </a:extLst>
        </xdr:cNvPr>
        <xdr:cNvSpPr txBox="1">
          <a:spLocks noChangeArrowheads="1"/>
        </xdr:cNvSpPr>
      </xdr:nvSpPr>
      <xdr:spPr bwMode="auto">
        <a:xfrm>
          <a:off x="560451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62</xdr:col>
      <xdr:colOff>0</xdr:colOff>
      <xdr:row>83</xdr:row>
      <xdr:rowOff>0</xdr:rowOff>
    </xdr:from>
    <xdr:to>
      <xdr:col>62</xdr:col>
      <xdr:colOff>0</xdr:colOff>
      <xdr:row>83</xdr:row>
      <xdr:rowOff>0</xdr:rowOff>
    </xdr:to>
    <xdr:sp macro="" textlink="">
      <xdr:nvSpPr>
        <xdr:cNvPr id="35" name="Text Box 60">
          <a:extLst>
            <a:ext uri="{FF2B5EF4-FFF2-40B4-BE49-F238E27FC236}">
              <a16:creationId xmlns:a16="http://schemas.microsoft.com/office/drawing/2014/main" id="{B2BA0A5E-D8DA-74B9-6A10-2B4D43AB5BE8}"/>
            </a:ext>
          </a:extLst>
        </xdr:cNvPr>
        <xdr:cNvSpPr txBox="1">
          <a:spLocks noChangeArrowheads="1"/>
        </xdr:cNvSpPr>
      </xdr:nvSpPr>
      <xdr:spPr bwMode="auto">
        <a:xfrm>
          <a:off x="5604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36" name="Text Box 61">
          <a:extLst>
            <a:ext uri="{FF2B5EF4-FFF2-40B4-BE49-F238E27FC236}">
              <a16:creationId xmlns:a16="http://schemas.microsoft.com/office/drawing/2014/main" id="{63A0BEA4-B003-A12E-E850-FE0D092B03DC}"/>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7" name="Text Box 62">
          <a:extLst>
            <a:ext uri="{FF2B5EF4-FFF2-40B4-BE49-F238E27FC236}">
              <a16:creationId xmlns:a16="http://schemas.microsoft.com/office/drawing/2014/main" id="{98A48008-2252-FEBF-1993-C6199654CB5F}"/>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38" name="Text Box 63">
          <a:extLst>
            <a:ext uri="{FF2B5EF4-FFF2-40B4-BE49-F238E27FC236}">
              <a16:creationId xmlns:a16="http://schemas.microsoft.com/office/drawing/2014/main" id="{D2D8DD48-F336-8523-C2F0-236C8573CCBE}"/>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9" name="Text Box 64">
          <a:extLst>
            <a:ext uri="{FF2B5EF4-FFF2-40B4-BE49-F238E27FC236}">
              <a16:creationId xmlns:a16="http://schemas.microsoft.com/office/drawing/2014/main" id="{3E8EFC8F-B657-A9E3-F62F-219EF852405B}"/>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40" name="Text Box 65">
          <a:extLst>
            <a:ext uri="{FF2B5EF4-FFF2-40B4-BE49-F238E27FC236}">
              <a16:creationId xmlns:a16="http://schemas.microsoft.com/office/drawing/2014/main" id="{E3CA5902-B373-2E1C-AB54-84C03E5A333F}"/>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41" name="Text Box 66">
          <a:extLst>
            <a:ext uri="{FF2B5EF4-FFF2-40B4-BE49-F238E27FC236}">
              <a16:creationId xmlns:a16="http://schemas.microsoft.com/office/drawing/2014/main" id="{984FDD09-02A9-82EF-12ED-34DFBACE51C8}"/>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42" name="Text Box 67">
          <a:extLst>
            <a:ext uri="{FF2B5EF4-FFF2-40B4-BE49-F238E27FC236}">
              <a16:creationId xmlns:a16="http://schemas.microsoft.com/office/drawing/2014/main" id="{7AF9F08E-BCFB-17BD-2929-2CA9A31C21DD}"/>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43" name="Text Box 68">
          <a:extLst>
            <a:ext uri="{FF2B5EF4-FFF2-40B4-BE49-F238E27FC236}">
              <a16:creationId xmlns:a16="http://schemas.microsoft.com/office/drawing/2014/main" id="{4892A14C-542F-2EC2-86CB-FC5803CD886D}"/>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44" name="Text Box 69">
          <a:extLst>
            <a:ext uri="{FF2B5EF4-FFF2-40B4-BE49-F238E27FC236}">
              <a16:creationId xmlns:a16="http://schemas.microsoft.com/office/drawing/2014/main" id="{556509C3-B0BD-E01E-95A8-7E8F17765E0D}"/>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45" name="Text Box 70">
          <a:extLst>
            <a:ext uri="{FF2B5EF4-FFF2-40B4-BE49-F238E27FC236}">
              <a16:creationId xmlns:a16="http://schemas.microsoft.com/office/drawing/2014/main" id="{6785A2DD-F98E-84AD-3CEF-E42964486FE2}"/>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46" name="Text Box 71">
          <a:extLst>
            <a:ext uri="{FF2B5EF4-FFF2-40B4-BE49-F238E27FC236}">
              <a16:creationId xmlns:a16="http://schemas.microsoft.com/office/drawing/2014/main" id="{46AC77A1-7950-C565-BEE6-5CBB496C0641}"/>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7" name="Text Box 72">
          <a:extLst>
            <a:ext uri="{FF2B5EF4-FFF2-40B4-BE49-F238E27FC236}">
              <a16:creationId xmlns:a16="http://schemas.microsoft.com/office/drawing/2014/main" id="{DDD64E36-F7A6-00CC-C092-EBB1076D44E4}"/>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48" name="Text Box 73">
          <a:extLst>
            <a:ext uri="{FF2B5EF4-FFF2-40B4-BE49-F238E27FC236}">
              <a16:creationId xmlns:a16="http://schemas.microsoft.com/office/drawing/2014/main" id="{506275E9-DA66-6A4C-5ABF-FA688D1D2E0E}"/>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9" name="Text Box 74">
          <a:extLst>
            <a:ext uri="{FF2B5EF4-FFF2-40B4-BE49-F238E27FC236}">
              <a16:creationId xmlns:a16="http://schemas.microsoft.com/office/drawing/2014/main" id="{67D8B224-A932-9262-3C02-C03C34815EEB}"/>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50" name="Text Box 75">
          <a:extLst>
            <a:ext uri="{FF2B5EF4-FFF2-40B4-BE49-F238E27FC236}">
              <a16:creationId xmlns:a16="http://schemas.microsoft.com/office/drawing/2014/main" id="{90E32764-7F8B-058D-63BE-CA0A6F47B04E}"/>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1" name="Text Box 76">
          <a:extLst>
            <a:ext uri="{FF2B5EF4-FFF2-40B4-BE49-F238E27FC236}">
              <a16:creationId xmlns:a16="http://schemas.microsoft.com/office/drawing/2014/main" id="{A2A54C0B-F66A-6941-8E72-427ECA5CE86F}"/>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52" name="Text Box 77">
          <a:extLst>
            <a:ext uri="{FF2B5EF4-FFF2-40B4-BE49-F238E27FC236}">
              <a16:creationId xmlns:a16="http://schemas.microsoft.com/office/drawing/2014/main" id="{463BDB2E-05D4-335C-8478-284A7108004A}"/>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3" name="Text Box 78">
          <a:extLst>
            <a:ext uri="{FF2B5EF4-FFF2-40B4-BE49-F238E27FC236}">
              <a16:creationId xmlns:a16="http://schemas.microsoft.com/office/drawing/2014/main" id="{945E5F81-6AF9-61E0-AC73-DAAFFE01A05C}"/>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54" name="Text Box 79">
          <a:extLst>
            <a:ext uri="{FF2B5EF4-FFF2-40B4-BE49-F238E27FC236}">
              <a16:creationId xmlns:a16="http://schemas.microsoft.com/office/drawing/2014/main" id="{71D53C1E-B510-13B8-08ED-456DDF6DB1B9}"/>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55" name="Text Box 80">
          <a:extLst>
            <a:ext uri="{FF2B5EF4-FFF2-40B4-BE49-F238E27FC236}">
              <a16:creationId xmlns:a16="http://schemas.microsoft.com/office/drawing/2014/main" id="{C692E37E-899A-146D-5CA1-C34ED41C447B}"/>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56" name="Text Box 81">
          <a:extLst>
            <a:ext uri="{FF2B5EF4-FFF2-40B4-BE49-F238E27FC236}">
              <a16:creationId xmlns:a16="http://schemas.microsoft.com/office/drawing/2014/main" id="{0D6E7530-DE4D-B684-288C-33A8364EBE82}"/>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57" name="Text Box 82">
          <a:extLst>
            <a:ext uri="{FF2B5EF4-FFF2-40B4-BE49-F238E27FC236}">
              <a16:creationId xmlns:a16="http://schemas.microsoft.com/office/drawing/2014/main" id="{2871CAED-267E-9311-BBB3-9AF298E09550}"/>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58" name="Text Box 83">
          <a:extLst>
            <a:ext uri="{FF2B5EF4-FFF2-40B4-BE49-F238E27FC236}">
              <a16:creationId xmlns:a16="http://schemas.microsoft.com/office/drawing/2014/main" id="{6BCC2480-ED2E-844C-28A5-F0E244667310}"/>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59" name="Text Box 84">
          <a:extLst>
            <a:ext uri="{FF2B5EF4-FFF2-40B4-BE49-F238E27FC236}">
              <a16:creationId xmlns:a16="http://schemas.microsoft.com/office/drawing/2014/main" id="{BDEF638C-AFEE-3C2D-A37C-4CC743DAB142}"/>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60" name="Text Box 85">
          <a:extLst>
            <a:ext uri="{FF2B5EF4-FFF2-40B4-BE49-F238E27FC236}">
              <a16:creationId xmlns:a16="http://schemas.microsoft.com/office/drawing/2014/main" id="{C071A738-0D77-7BFC-8809-ECBA323F8D73}"/>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61" name="Text Box 86">
          <a:extLst>
            <a:ext uri="{FF2B5EF4-FFF2-40B4-BE49-F238E27FC236}">
              <a16:creationId xmlns:a16="http://schemas.microsoft.com/office/drawing/2014/main" id="{802286FF-7869-E3FA-81F0-54DDB623B8EE}"/>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66" name="Text Box 91">
          <a:extLst>
            <a:ext uri="{FF2B5EF4-FFF2-40B4-BE49-F238E27FC236}">
              <a16:creationId xmlns:a16="http://schemas.microsoft.com/office/drawing/2014/main" id="{184A034D-A187-0C13-E1CF-6F61310D319A}"/>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67" name="Text Box 92">
          <a:extLst>
            <a:ext uri="{FF2B5EF4-FFF2-40B4-BE49-F238E27FC236}">
              <a16:creationId xmlns:a16="http://schemas.microsoft.com/office/drawing/2014/main" id="{DDF2FEED-18A4-D2CE-20A2-E56F938E1755}"/>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68" name="Text Box 93">
          <a:extLst>
            <a:ext uri="{FF2B5EF4-FFF2-40B4-BE49-F238E27FC236}">
              <a16:creationId xmlns:a16="http://schemas.microsoft.com/office/drawing/2014/main" id="{89B76C87-271E-8932-15EC-95E33818922D}"/>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69" name="Text Box 94">
          <a:extLst>
            <a:ext uri="{FF2B5EF4-FFF2-40B4-BE49-F238E27FC236}">
              <a16:creationId xmlns:a16="http://schemas.microsoft.com/office/drawing/2014/main" id="{8549C21C-D713-D31F-43F7-CAEFC3E23E52}"/>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70" name="Text Box 95">
          <a:extLst>
            <a:ext uri="{FF2B5EF4-FFF2-40B4-BE49-F238E27FC236}">
              <a16:creationId xmlns:a16="http://schemas.microsoft.com/office/drawing/2014/main" id="{3141DF0E-0E66-2864-FB65-9EED56CC0DE0}"/>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71" name="Text Box 96">
          <a:extLst>
            <a:ext uri="{FF2B5EF4-FFF2-40B4-BE49-F238E27FC236}">
              <a16:creationId xmlns:a16="http://schemas.microsoft.com/office/drawing/2014/main" id="{FA19810F-2966-CE6B-0A55-2EBB1F30CF2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74" name="Text Box 104">
          <a:extLst>
            <a:ext uri="{FF2B5EF4-FFF2-40B4-BE49-F238E27FC236}">
              <a16:creationId xmlns:a16="http://schemas.microsoft.com/office/drawing/2014/main" id="{F84DC53A-853A-EEAB-E2DF-4868CFFD15CD}"/>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75" name="Text Box 105">
          <a:extLst>
            <a:ext uri="{FF2B5EF4-FFF2-40B4-BE49-F238E27FC236}">
              <a16:creationId xmlns:a16="http://schemas.microsoft.com/office/drawing/2014/main" id="{D8F3BB9C-653F-5E6B-5DDE-612B29AF15C7}"/>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76" name="Text Box 109">
          <a:extLst>
            <a:ext uri="{FF2B5EF4-FFF2-40B4-BE49-F238E27FC236}">
              <a16:creationId xmlns:a16="http://schemas.microsoft.com/office/drawing/2014/main" id="{2197A39B-E0C4-4BFA-66E1-A3BDD02E4450}"/>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77" name="Text Box 110">
          <a:extLst>
            <a:ext uri="{FF2B5EF4-FFF2-40B4-BE49-F238E27FC236}">
              <a16:creationId xmlns:a16="http://schemas.microsoft.com/office/drawing/2014/main" id="{E3BC99B7-04A0-D8F1-0031-99D3906C135F}"/>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78" name="Text Box 114">
          <a:extLst>
            <a:ext uri="{FF2B5EF4-FFF2-40B4-BE49-F238E27FC236}">
              <a16:creationId xmlns:a16="http://schemas.microsoft.com/office/drawing/2014/main" id="{74A281AC-585B-9F24-FF5C-4837CD8F1FEF}"/>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79" name="Text Box 115">
          <a:extLst>
            <a:ext uri="{FF2B5EF4-FFF2-40B4-BE49-F238E27FC236}">
              <a16:creationId xmlns:a16="http://schemas.microsoft.com/office/drawing/2014/main" id="{47F0FE3A-B50E-5BEA-BF22-75008AF31EBF}"/>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0" name="Text Box 119">
          <a:extLst>
            <a:ext uri="{FF2B5EF4-FFF2-40B4-BE49-F238E27FC236}">
              <a16:creationId xmlns:a16="http://schemas.microsoft.com/office/drawing/2014/main" id="{929C855E-42AA-14C9-023E-BB0FEA89D083}"/>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1" name="Text Box 120">
          <a:extLst>
            <a:ext uri="{FF2B5EF4-FFF2-40B4-BE49-F238E27FC236}">
              <a16:creationId xmlns:a16="http://schemas.microsoft.com/office/drawing/2014/main" id="{9E892C1A-11D0-39F4-A60F-E5E5770E17E5}"/>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2" name="Text Box 121">
          <a:extLst>
            <a:ext uri="{FF2B5EF4-FFF2-40B4-BE49-F238E27FC236}">
              <a16:creationId xmlns:a16="http://schemas.microsoft.com/office/drawing/2014/main" id="{39C598D7-C185-00C6-3DD6-516C5FD91173}"/>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3" name="Text Box 122">
          <a:extLst>
            <a:ext uri="{FF2B5EF4-FFF2-40B4-BE49-F238E27FC236}">
              <a16:creationId xmlns:a16="http://schemas.microsoft.com/office/drawing/2014/main" id="{55F2BA16-9112-68F5-103C-608010D220CE}"/>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4" name="Text Box 123">
          <a:extLst>
            <a:ext uri="{FF2B5EF4-FFF2-40B4-BE49-F238E27FC236}">
              <a16:creationId xmlns:a16="http://schemas.microsoft.com/office/drawing/2014/main" id="{C74135BA-ABE1-FC30-7CDD-341676497AA6}"/>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5" name="Text Box 124">
          <a:extLst>
            <a:ext uri="{FF2B5EF4-FFF2-40B4-BE49-F238E27FC236}">
              <a16:creationId xmlns:a16="http://schemas.microsoft.com/office/drawing/2014/main" id="{D2C6CFDD-120D-6A12-7804-968B97D380FA}"/>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6" name="Text Box 125">
          <a:extLst>
            <a:ext uri="{FF2B5EF4-FFF2-40B4-BE49-F238E27FC236}">
              <a16:creationId xmlns:a16="http://schemas.microsoft.com/office/drawing/2014/main" id="{57ACD575-DDCC-8785-6837-37BC4CBDB8BB}"/>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7" name="Text Box 126">
          <a:extLst>
            <a:ext uri="{FF2B5EF4-FFF2-40B4-BE49-F238E27FC236}">
              <a16:creationId xmlns:a16="http://schemas.microsoft.com/office/drawing/2014/main" id="{3FA2585A-886A-6A13-3A77-EC341CC8F353}"/>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8" name="Text Box 127">
          <a:extLst>
            <a:ext uri="{FF2B5EF4-FFF2-40B4-BE49-F238E27FC236}">
              <a16:creationId xmlns:a16="http://schemas.microsoft.com/office/drawing/2014/main" id="{0188EBB0-0C9A-F378-4BF3-C78DF6F4F651}"/>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9" name="Text Box 128">
          <a:extLst>
            <a:ext uri="{FF2B5EF4-FFF2-40B4-BE49-F238E27FC236}">
              <a16:creationId xmlns:a16="http://schemas.microsoft.com/office/drawing/2014/main" id="{6FDB1F7A-4F9D-ED97-02D7-0BF3C8C389D2}"/>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0" name="Text Box 158">
          <a:extLst>
            <a:ext uri="{FF2B5EF4-FFF2-40B4-BE49-F238E27FC236}">
              <a16:creationId xmlns:a16="http://schemas.microsoft.com/office/drawing/2014/main" id="{4CD1A85A-4EE6-5C9D-1D6E-4DE7B8F7403A}"/>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1" name="Text Box 159">
          <a:extLst>
            <a:ext uri="{FF2B5EF4-FFF2-40B4-BE49-F238E27FC236}">
              <a16:creationId xmlns:a16="http://schemas.microsoft.com/office/drawing/2014/main" id="{8774078E-1384-20F1-7A4D-7B026E7FA326}"/>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2" name="Text Box 160">
          <a:extLst>
            <a:ext uri="{FF2B5EF4-FFF2-40B4-BE49-F238E27FC236}">
              <a16:creationId xmlns:a16="http://schemas.microsoft.com/office/drawing/2014/main" id="{B9AF1FEF-7043-B2B3-D2A1-A26F378819D1}"/>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3" name="Text Box 161">
          <a:extLst>
            <a:ext uri="{FF2B5EF4-FFF2-40B4-BE49-F238E27FC236}">
              <a16:creationId xmlns:a16="http://schemas.microsoft.com/office/drawing/2014/main" id="{CBEB2578-65B5-DB16-19CB-ACD954E17205}"/>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4" name="Text Box 162">
          <a:extLst>
            <a:ext uri="{FF2B5EF4-FFF2-40B4-BE49-F238E27FC236}">
              <a16:creationId xmlns:a16="http://schemas.microsoft.com/office/drawing/2014/main" id="{F2860294-DEA7-B84C-7FF3-8E8A3E00E4E5}"/>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5" name="Text Box 163">
          <a:extLst>
            <a:ext uri="{FF2B5EF4-FFF2-40B4-BE49-F238E27FC236}">
              <a16:creationId xmlns:a16="http://schemas.microsoft.com/office/drawing/2014/main" id="{A8FC0441-3CF2-7D2A-A47A-9F3AE93BF2B6}"/>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6" name="Text Box 164">
          <a:extLst>
            <a:ext uri="{FF2B5EF4-FFF2-40B4-BE49-F238E27FC236}">
              <a16:creationId xmlns:a16="http://schemas.microsoft.com/office/drawing/2014/main" id="{186E4209-9177-A6E6-0C2F-DFC839F526F5}"/>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7" name="Text Box 165">
          <a:extLst>
            <a:ext uri="{FF2B5EF4-FFF2-40B4-BE49-F238E27FC236}">
              <a16:creationId xmlns:a16="http://schemas.microsoft.com/office/drawing/2014/main" id="{EEA4AD02-8A65-E6DC-55CE-751619CE6148}"/>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8" name="Text Box 166">
          <a:extLst>
            <a:ext uri="{FF2B5EF4-FFF2-40B4-BE49-F238E27FC236}">
              <a16:creationId xmlns:a16="http://schemas.microsoft.com/office/drawing/2014/main" id="{C6FB7D83-12E3-B141-6632-43BB90B3AEE2}"/>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9" name="Text Box 167">
          <a:extLst>
            <a:ext uri="{FF2B5EF4-FFF2-40B4-BE49-F238E27FC236}">
              <a16:creationId xmlns:a16="http://schemas.microsoft.com/office/drawing/2014/main" id="{9B37BAF7-06A7-D4C7-AF42-77A7E6C6A5EB}"/>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0" name="Text Box 171">
          <a:extLst>
            <a:ext uri="{FF2B5EF4-FFF2-40B4-BE49-F238E27FC236}">
              <a16:creationId xmlns:a16="http://schemas.microsoft.com/office/drawing/2014/main" id="{B5011AD8-1557-B752-8A5B-040485EDBA82}"/>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1" name="Text Box 172">
          <a:extLst>
            <a:ext uri="{FF2B5EF4-FFF2-40B4-BE49-F238E27FC236}">
              <a16:creationId xmlns:a16="http://schemas.microsoft.com/office/drawing/2014/main" id="{C3E085BE-2BCD-A567-8EC4-E4A2CAD3963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2" name="Text Box 173">
          <a:extLst>
            <a:ext uri="{FF2B5EF4-FFF2-40B4-BE49-F238E27FC236}">
              <a16:creationId xmlns:a16="http://schemas.microsoft.com/office/drawing/2014/main" id="{8169A554-5B72-BFA2-575B-7F100910F57B}"/>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3" name="Text Box 174">
          <a:extLst>
            <a:ext uri="{FF2B5EF4-FFF2-40B4-BE49-F238E27FC236}">
              <a16:creationId xmlns:a16="http://schemas.microsoft.com/office/drawing/2014/main" id="{2DFAF0C9-3770-7A76-69EE-3B1718892E3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4" name="Text Box 175">
          <a:extLst>
            <a:ext uri="{FF2B5EF4-FFF2-40B4-BE49-F238E27FC236}">
              <a16:creationId xmlns:a16="http://schemas.microsoft.com/office/drawing/2014/main" id="{2D11826C-9B81-C908-2532-8413327A259F}"/>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5" name="Text Box 176">
          <a:extLst>
            <a:ext uri="{FF2B5EF4-FFF2-40B4-BE49-F238E27FC236}">
              <a16:creationId xmlns:a16="http://schemas.microsoft.com/office/drawing/2014/main" id="{8F89F772-F452-7E20-6DA5-9AF44D268568}"/>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6" name="Text Box 177">
          <a:extLst>
            <a:ext uri="{FF2B5EF4-FFF2-40B4-BE49-F238E27FC236}">
              <a16:creationId xmlns:a16="http://schemas.microsoft.com/office/drawing/2014/main" id="{F08670C4-AC82-E933-CAA2-7BE467B86842}"/>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7" name="Text Box 178">
          <a:extLst>
            <a:ext uri="{FF2B5EF4-FFF2-40B4-BE49-F238E27FC236}">
              <a16:creationId xmlns:a16="http://schemas.microsoft.com/office/drawing/2014/main" id="{A4AEF65B-4442-09C6-569C-601F9285CFFB}"/>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8" name="Text Box 179">
          <a:extLst>
            <a:ext uri="{FF2B5EF4-FFF2-40B4-BE49-F238E27FC236}">
              <a16:creationId xmlns:a16="http://schemas.microsoft.com/office/drawing/2014/main" id="{8AA127FC-A255-ABF5-06E6-4FB03D3F7CC5}"/>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9" name="Text Box 180">
          <a:extLst>
            <a:ext uri="{FF2B5EF4-FFF2-40B4-BE49-F238E27FC236}">
              <a16:creationId xmlns:a16="http://schemas.microsoft.com/office/drawing/2014/main" id="{42686754-D843-E69D-5639-F054E4E5117A}"/>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0" name="Text Box 197">
          <a:extLst>
            <a:ext uri="{FF2B5EF4-FFF2-40B4-BE49-F238E27FC236}">
              <a16:creationId xmlns:a16="http://schemas.microsoft.com/office/drawing/2014/main" id="{98EB62AD-23C1-F73C-BBE8-15BE25731793}"/>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1" name="Text Box 198">
          <a:extLst>
            <a:ext uri="{FF2B5EF4-FFF2-40B4-BE49-F238E27FC236}">
              <a16:creationId xmlns:a16="http://schemas.microsoft.com/office/drawing/2014/main" id="{45BC55BD-4ADD-B466-E125-14F51B5511E6}"/>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2" name="Text Box 199">
          <a:extLst>
            <a:ext uri="{FF2B5EF4-FFF2-40B4-BE49-F238E27FC236}">
              <a16:creationId xmlns:a16="http://schemas.microsoft.com/office/drawing/2014/main" id="{8326A766-833F-F8B3-D8A5-A174776626F2}"/>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3" name="Text Box 200">
          <a:extLst>
            <a:ext uri="{FF2B5EF4-FFF2-40B4-BE49-F238E27FC236}">
              <a16:creationId xmlns:a16="http://schemas.microsoft.com/office/drawing/2014/main" id="{FB6E52DC-895B-4883-41AF-307EFF64E2AF}"/>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4" name="Text Box 201">
          <a:extLst>
            <a:ext uri="{FF2B5EF4-FFF2-40B4-BE49-F238E27FC236}">
              <a16:creationId xmlns:a16="http://schemas.microsoft.com/office/drawing/2014/main" id="{EC083B59-B76C-1B07-D6E5-85857D19BBA8}"/>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5" name="Text Box 202">
          <a:extLst>
            <a:ext uri="{FF2B5EF4-FFF2-40B4-BE49-F238E27FC236}">
              <a16:creationId xmlns:a16="http://schemas.microsoft.com/office/drawing/2014/main" id="{D3391AC6-76A1-95F6-6A30-671F71EA6F97}"/>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6" name="Text Box 203">
          <a:extLst>
            <a:ext uri="{FF2B5EF4-FFF2-40B4-BE49-F238E27FC236}">
              <a16:creationId xmlns:a16="http://schemas.microsoft.com/office/drawing/2014/main" id="{9826C5A8-9D1D-FFEA-D48C-8C23A73ADDD5}"/>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7" name="Text Box 204">
          <a:extLst>
            <a:ext uri="{FF2B5EF4-FFF2-40B4-BE49-F238E27FC236}">
              <a16:creationId xmlns:a16="http://schemas.microsoft.com/office/drawing/2014/main" id="{76800583-B9D5-4E3C-5C48-E4B1BAA07279}"/>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8" name="Text Box 205">
          <a:extLst>
            <a:ext uri="{FF2B5EF4-FFF2-40B4-BE49-F238E27FC236}">
              <a16:creationId xmlns:a16="http://schemas.microsoft.com/office/drawing/2014/main" id="{5BD397A4-ACA2-FA4D-671F-74D7D293394A}"/>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9" name="Text Box 206">
          <a:extLst>
            <a:ext uri="{FF2B5EF4-FFF2-40B4-BE49-F238E27FC236}">
              <a16:creationId xmlns:a16="http://schemas.microsoft.com/office/drawing/2014/main" id="{482DB142-BEEF-DDD9-B8D5-647563AD04B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150" name="Text Box 214">
          <a:extLst>
            <a:ext uri="{FF2B5EF4-FFF2-40B4-BE49-F238E27FC236}">
              <a16:creationId xmlns:a16="http://schemas.microsoft.com/office/drawing/2014/main" id="{7021162A-4645-8A6E-A0B4-C016A5EE1B92}"/>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51" name="Text Box 215">
          <a:extLst>
            <a:ext uri="{FF2B5EF4-FFF2-40B4-BE49-F238E27FC236}">
              <a16:creationId xmlns:a16="http://schemas.microsoft.com/office/drawing/2014/main" id="{C8A71C2A-D706-B2B8-3B10-42A205855585}"/>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25</xdr:row>
      <xdr:rowOff>47625</xdr:rowOff>
    </xdr:from>
    <xdr:to>
      <xdr:col>8</xdr:col>
      <xdr:colOff>0</xdr:colOff>
      <xdr:row>26</xdr:row>
      <xdr:rowOff>68671</xdr:rowOff>
    </xdr:to>
    <xdr:sp macro="" textlink="">
      <xdr:nvSpPr>
        <xdr:cNvPr id="152" name="Text Box 216">
          <a:extLst>
            <a:ext uri="{FF2B5EF4-FFF2-40B4-BE49-F238E27FC236}">
              <a16:creationId xmlns:a16="http://schemas.microsoft.com/office/drawing/2014/main" id="{CD07FD80-EC53-C751-DB11-A31EC383E0EB}"/>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153" name="Text Box 217">
          <a:extLst>
            <a:ext uri="{FF2B5EF4-FFF2-40B4-BE49-F238E27FC236}">
              <a16:creationId xmlns:a16="http://schemas.microsoft.com/office/drawing/2014/main" id="{AC2E633D-35A5-4363-AB9F-B9F687A79A6D}"/>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49530</xdr:rowOff>
    </xdr:to>
    <xdr:sp macro="" textlink="">
      <xdr:nvSpPr>
        <xdr:cNvPr id="154" name="Text Box 218">
          <a:extLst>
            <a:ext uri="{FF2B5EF4-FFF2-40B4-BE49-F238E27FC236}">
              <a16:creationId xmlns:a16="http://schemas.microsoft.com/office/drawing/2014/main" id="{69B4700D-F899-2B92-FE3F-9DF4C9011B4F}"/>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155" name="Text Box 219">
          <a:extLst>
            <a:ext uri="{FF2B5EF4-FFF2-40B4-BE49-F238E27FC236}">
              <a16:creationId xmlns:a16="http://schemas.microsoft.com/office/drawing/2014/main" id="{001DB637-245B-121F-E05A-EEB663970059}"/>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56" name="Text Box 220">
          <a:extLst>
            <a:ext uri="{FF2B5EF4-FFF2-40B4-BE49-F238E27FC236}">
              <a16:creationId xmlns:a16="http://schemas.microsoft.com/office/drawing/2014/main" id="{DEE71EA9-C056-6A44-0A69-F8CF9F22B3FA}"/>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25</xdr:row>
      <xdr:rowOff>47625</xdr:rowOff>
    </xdr:from>
    <xdr:to>
      <xdr:col>17</xdr:col>
      <xdr:colOff>0</xdr:colOff>
      <xdr:row>26</xdr:row>
      <xdr:rowOff>68671</xdr:rowOff>
    </xdr:to>
    <xdr:sp macro="" textlink="">
      <xdr:nvSpPr>
        <xdr:cNvPr id="157" name="Text Box 221">
          <a:extLst>
            <a:ext uri="{FF2B5EF4-FFF2-40B4-BE49-F238E27FC236}">
              <a16:creationId xmlns:a16="http://schemas.microsoft.com/office/drawing/2014/main" id="{97F2C9FE-F060-6267-E42D-C184800567FC}"/>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158" name="Text Box 222">
          <a:extLst>
            <a:ext uri="{FF2B5EF4-FFF2-40B4-BE49-F238E27FC236}">
              <a16:creationId xmlns:a16="http://schemas.microsoft.com/office/drawing/2014/main" id="{5BC1D9CD-F9FE-5121-E134-FB853DED6EBB}"/>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49530</xdr:rowOff>
    </xdr:to>
    <xdr:sp macro="" textlink="">
      <xdr:nvSpPr>
        <xdr:cNvPr id="159" name="Text Box 223">
          <a:extLst>
            <a:ext uri="{FF2B5EF4-FFF2-40B4-BE49-F238E27FC236}">
              <a16:creationId xmlns:a16="http://schemas.microsoft.com/office/drawing/2014/main" id="{B84E420B-5D70-BFA2-D9A8-541B9220F731}"/>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160" name="Text Box 224">
          <a:extLst>
            <a:ext uri="{FF2B5EF4-FFF2-40B4-BE49-F238E27FC236}">
              <a16:creationId xmlns:a16="http://schemas.microsoft.com/office/drawing/2014/main" id="{9B3A7D1F-C442-D2BE-E3FE-06DFE91B777A}"/>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161" name="Text Box 225">
          <a:extLst>
            <a:ext uri="{FF2B5EF4-FFF2-40B4-BE49-F238E27FC236}">
              <a16:creationId xmlns:a16="http://schemas.microsoft.com/office/drawing/2014/main" id="{D271505A-AAC4-6806-4302-05171B06AABA}"/>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25</xdr:row>
      <xdr:rowOff>47625</xdr:rowOff>
    </xdr:from>
    <xdr:to>
      <xdr:col>25</xdr:col>
      <xdr:colOff>0</xdr:colOff>
      <xdr:row>26</xdr:row>
      <xdr:rowOff>68671</xdr:rowOff>
    </xdr:to>
    <xdr:sp macro="" textlink="">
      <xdr:nvSpPr>
        <xdr:cNvPr id="162" name="Text Box 226">
          <a:extLst>
            <a:ext uri="{FF2B5EF4-FFF2-40B4-BE49-F238E27FC236}">
              <a16:creationId xmlns:a16="http://schemas.microsoft.com/office/drawing/2014/main" id="{2BF0DB90-1D3E-80F0-D74B-DA77F316D0FF}"/>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163" name="Text Box 227">
          <a:extLst>
            <a:ext uri="{FF2B5EF4-FFF2-40B4-BE49-F238E27FC236}">
              <a16:creationId xmlns:a16="http://schemas.microsoft.com/office/drawing/2014/main" id="{3D2CCF4B-70C2-8463-8E1E-1D003EDFD003}"/>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49530</xdr:rowOff>
    </xdr:to>
    <xdr:sp macro="" textlink="">
      <xdr:nvSpPr>
        <xdr:cNvPr id="164" name="Text Box 228">
          <a:extLst>
            <a:ext uri="{FF2B5EF4-FFF2-40B4-BE49-F238E27FC236}">
              <a16:creationId xmlns:a16="http://schemas.microsoft.com/office/drawing/2014/main" id="{1B9FC545-D2F1-80AB-1902-3C18D99E1322}"/>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165" name="Text Box 229">
          <a:extLst>
            <a:ext uri="{FF2B5EF4-FFF2-40B4-BE49-F238E27FC236}">
              <a16:creationId xmlns:a16="http://schemas.microsoft.com/office/drawing/2014/main" id="{BA93BC01-11E0-096D-49FD-2EE8BF501F29}"/>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166" name="Text Box 230">
          <a:extLst>
            <a:ext uri="{FF2B5EF4-FFF2-40B4-BE49-F238E27FC236}">
              <a16:creationId xmlns:a16="http://schemas.microsoft.com/office/drawing/2014/main" id="{30821B1A-69C4-7A06-089C-F03594664314}"/>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25</xdr:row>
      <xdr:rowOff>47625</xdr:rowOff>
    </xdr:from>
    <xdr:to>
      <xdr:col>33</xdr:col>
      <xdr:colOff>0</xdr:colOff>
      <xdr:row>26</xdr:row>
      <xdr:rowOff>68671</xdr:rowOff>
    </xdr:to>
    <xdr:sp macro="" textlink="">
      <xdr:nvSpPr>
        <xdr:cNvPr id="167" name="Text Box 231">
          <a:extLst>
            <a:ext uri="{FF2B5EF4-FFF2-40B4-BE49-F238E27FC236}">
              <a16:creationId xmlns:a16="http://schemas.microsoft.com/office/drawing/2014/main" id="{DD39EADB-B91B-D8A7-4C10-89A2D7B21003}"/>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168" name="Text Box 232">
          <a:extLst>
            <a:ext uri="{FF2B5EF4-FFF2-40B4-BE49-F238E27FC236}">
              <a16:creationId xmlns:a16="http://schemas.microsoft.com/office/drawing/2014/main" id="{CA364C54-7FA0-1F7C-D95F-E6B01BAD0C1F}"/>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49530</xdr:rowOff>
    </xdr:to>
    <xdr:sp macro="" textlink="">
      <xdr:nvSpPr>
        <xdr:cNvPr id="169" name="Text Box 233">
          <a:extLst>
            <a:ext uri="{FF2B5EF4-FFF2-40B4-BE49-F238E27FC236}">
              <a16:creationId xmlns:a16="http://schemas.microsoft.com/office/drawing/2014/main" id="{8D10E5DC-46BE-95DD-28E0-1C468DF2A754}"/>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80" name="Text Box 244">
          <a:extLst>
            <a:ext uri="{FF2B5EF4-FFF2-40B4-BE49-F238E27FC236}">
              <a16:creationId xmlns:a16="http://schemas.microsoft.com/office/drawing/2014/main" id="{5F751DB5-7576-C52C-B4FB-BFD55BB53A22}"/>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81" name="Text Box 245">
          <a:extLst>
            <a:ext uri="{FF2B5EF4-FFF2-40B4-BE49-F238E27FC236}">
              <a16:creationId xmlns:a16="http://schemas.microsoft.com/office/drawing/2014/main" id="{A411C352-776E-90B6-44D7-8EABFAC75B4A}"/>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25</xdr:row>
      <xdr:rowOff>47625</xdr:rowOff>
    </xdr:from>
    <xdr:to>
      <xdr:col>61</xdr:col>
      <xdr:colOff>0</xdr:colOff>
      <xdr:row>26</xdr:row>
      <xdr:rowOff>68671</xdr:rowOff>
    </xdr:to>
    <xdr:sp macro="" textlink="">
      <xdr:nvSpPr>
        <xdr:cNvPr id="182" name="Text Box 246">
          <a:extLst>
            <a:ext uri="{FF2B5EF4-FFF2-40B4-BE49-F238E27FC236}">
              <a16:creationId xmlns:a16="http://schemas.microsoft.com/office/drawing/2014/main" id="{4DA82637-CFBC-F5E6-2DAE-78A54F4B7868}"/>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183" name="Text Box 247">
          <a:extLst>
            <a:ext uri="{FF2B5EF4-FFF2-40B4-BE49-F238E27FC236}">
              <a16:creationId xmlns:a16="http://schemas.microsoft.com/office/drawing/2014/main" id="{3C54C8A0-3AE3-DCC2-7D2C-DB9C7BA8BBFF}"/>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49530</xdr:rowOff>
    </xdr:to>
    <xdr:sp macro="" textlink="">
      <xdr:nvSpPr>
        <xdr:cNvPr id="184" name="Text Box 248">
          <a:extLst>
            <a:ext uri="{FF2B5EF4-FFF2-40B4-BE49-F238E27FC236}">
              <a16:creationId xmlns:a16="http://schemas.microsoft.com/office/drawing/2014/main" id="{DA5D32AB-B126-5454-3A03-E7B26E52841E}"/>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85" name="Text Box 249">
          <a:extLst>
            <a:ext uri="{FF2B5EF4-FFF2-40B4-BE49-F238E27FC236}">
              <a16:creationId xmlns:a16="http://schemas.microsoft.com/office/drawing/2014/main" id="{51091BBC-33A2-1582-63AC-4569F238CB73}"/>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86" name="Text Box 250">
          <a:extLst>
            <a:ext uri="{FF2B5EF4-FFF2-40B4-BE49-F238E27FC236}">
              <a16:creationId xmlns:a16="http://schemas.microsoft.com/office/drawing/2014/main" id="{7EB32C7D-83EF-C0D1-06DF-B265335C0917}"/>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25</xdr:row>
      <xdr:rowOff>47625</xdr:rowOff>
    </xdr:from>
    <xdr:to>
      <xdr:col>71</xdr:col>
      <xdr:colOff>0</xdr:colOff>
      <xdr:row>26</xdr:row>
      <xdr:rowOff>68671</xdr:rowOff>
    </xdr:to>
    <xdr:sp macro="" textlink="">
      <xdr:nvSpPr>
        <xdr:cNvPr id="187" name="Text Box 251">
          <a:extLst>
            <a:ext uri="{FF2B5EF4-FFF2-40B4-BE49-F238E27FC236}">
              <a16:creationId xmlns:a16="http://schemas.microsoft.com/office/drawing/2014/main" id="{A18DF924-32D6-A4EF-4F69-F4D18E7814E6}"/>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188" name="Text Box 252">
          <a:extLst>
            <a:ext uri="{FF2B5EF4-FFF2-40B4-BE49-F238E27FC236}">
              <a16:creationId xmlns:a16="http://schemas.microsoft.com/office/drawing/2014/main" id="{3ACD03A8-C8AD-84F9-2115-42F1C94375ED}"/>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49530</xdr:rowOff>
    </xdr:to>
    <xdr:sp macro="" textlink="">
      <xdr:nvSpPr>
        <xdr:cNvPr id="189" name="Text Box 253">
          <a:extLst>
            <a:ext uri="{FF2B5EF4-FFF2-40B4-BE49-F238E27FC236}">
              <a16:creationId xmlns:a16="http://schemas.microsoft.com/office/drawing/2014/main" id="{98C4008D-B95B-BB8B-66A6-DE9E771D75D6}"/>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90" name="Text Box 254">
          <a:extLst>
            <a:ext uri="{FF2B5EF4-FFF2-40B4-BE49-F238E27FC236}">
              <a16:creationId xmlns:a16="http://schemas.microsoft.com/office/drawing/2014/main" id="{5AD5FA80-3FCC-5298-CEAD-5C5988EC284D}"/>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91" name="Text Box 255">
          <a:extLst>
            <a:ext uri="{FF2B5EF4-FFF2-40B4-BE49-F238E27FC236}">
              <a16:creationId xmlns:a16="http://schemas.microsoft.com/office/drawing/2014/main" id="{7809DB48-9A99-172D-1E68-245584E3D58F}"/>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25</xdr:row>
      <xdr:rowOff>47625</xdr:rowOff>
    </xdr:from>
    <xdr:to>
      <xdr:col>80</xdr:col>
      <xdr:colOff>0</xdr:colOff>
      <xdr:row>26</xdr:row>
      <xdr:rowOff>68671</xdr:rowOff>
    </xdr:to>
    <xdr:sp macro="" textlink="">
      <xdr:nvSpPr>
        <xdr:cNvPr id="192" name="Text Box 256">
          <a:extLst>
            <a:ext uri="{FF2B5EF4-FFF2-40B4-BE49-F238E27FC236}">
              <a16:creationId xmlns:a16="http://schemas.microsoft.com/office/drawing/2014/main" id="{D17D0A94-2447-8575-44D7-B66F4C5DCA3B}"/>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193" name="Text Box 257">
          <a:extLst>
            <a:ext uri="{FF2B5EF4-FFF2-40B4-BE49-F238E27FC236}">
              <a16:creationId xmlns:a16="http://schemas.microsoft.com/office/drawing/2014/main" id="{F8438AD8-BF5E-F37A-02FD-13909AAF17AF}"/>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49530</xdr:rowOff>
    </xdr:to>
    <xdr:sp macro="" textlink="">
      <xdr:nvSpPr>
        <xdr:cNvPr id="194" name="Text Box 258">
          <a:extLst>
            <a:ext uri="{FF2B5EF4-FFF2-40B4-BE49-F238E27FC236}">
              <a16:creationId xmlns:a16="http://schemas.microsoft.com/office/drawing/2014/main" id="{7000AB4F-1473-B690-E9F0-031BC72233F5}"/>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25</xdr:row>
      <xdr:rowOff>47625</xdr:rowOff>
    </xdr:from>
    <xdr:to>
      <xdr:col>8</xdr:col>
      <xdr:colOff>0</xdr:colOff>
      <xdr:row>26</xdr:row>
      <xdr:rowOff>68671</xdr:rowOff>
    </xdr:to>
    <xdr:sp macro="" textlink="">
      <xdr:nvSpPr>
        <xdr:cNvPr id="200" name="Text Box 268">
          <a:extLst>
            <a:ext uri="{FF2B5EF4-FFF2-40B4-BE49-F238E27FC236}">
              <a16:creationId xmlns:a16="http://schemas.microsoft.com/office/drawing/2014/main" id="{E1EDD91A-68F1-8287-9E26-8C74FCC847EA}"/>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201" name="Text Box 269">
          <a:extLst>
            <a:ext uri="{FF2B5EF4-FFF2-40B4-BE49-F238E27FC236}">
              <a16:creationId xmlns:a16="http://schemas.microsoft.com/office/drawing/2014/main" id="{B6D11146-44E6-55D3-0C15-14EE1B3943D5}"/>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49530</xdr:rowOff>
    </xdr:to>
    <xdr:sp macro="" textlink="">
      <xdr:nvSpPr>
        <xdr:cNvPr id="202" name="Text Box 270">
          <a:extLst>
            <a:ext uri="{FF2B5EF4-FFF2-40B4-BE49-F238E27FC236}">
              <a16:creationId xmlns:a16="http://schemas.microsoft.com/office/drawing/2014/main" id="{9DCF288A-5865-42FD-929E-73BE2B017617}"/>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25</xdr:row>
      <xdr:rowOff>47625</xdr:rowOff>
    </xdr:from>
    <xdr:to>
      <xdr:col>17</xdr:col>
      <xdr:colOff>0</xdr:colOff>
      <xdr:row>26</xdr:row>
      <xdr:rowOff>68671</xdr:rowOff>
    </xdr:to>
    <xdr:sp macro="" textlink="">
      <xdr:nvSpPr>
        <xdr:cNvPr id="203" name="Text Box 271">
          <a:extLst>
            <a:ext uri="{FF2B5EF4-FFF2-40B4-BE49-F238E27FC236}">
              <a16:creationId xmlns:a16="http://schemas.microsoft.com/office/drawing/2014/main" id="{13215161-D589-DE77-D6F9-F68EEC81D54C}"/>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204" name="Text Box 272">
          <a:extLst>
            <a:ext uri="{FF2B5EF4-FFF2-40B4-BE49-F238E27FC236}">
              <a16:creationId xmlns:a16="http://schemas.microsoft.com/office/drawing/2014/main" id="{3115E81A-A6E6-69A5-6E16-8B228A3FC48F}"/>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49530</xdr:rowOff>
    </xdr:to>
    <xdr:sp macro="" textlink="">
      <xdr:nvSpPr>
        <xdr:cNvPr id="205" name="Text Box 273">
          <a:extLst>
            <a:ext uri="{FF2B5EF4-FFF2-40B4-BE49-F238E27FC236}">
              <a16:creationId xmlns:a16="http://schemas.microsoft.com/office/drawing/2014/main" id="{3D044353-B257-8A2A-C134-E4F6EBA12DDD}"/>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25</xdr:row>
      <xdr:rowOff>47625</xdr:rowOff>
    </xdr:from>
    <xdr:to>
      <xdr:col>25</xdr:col>
      <xdr:colOff>0</xdr:colOff>
      <xdr:row>26</xdr:row>
      <xdr:rowOff>68671</xdr:rowOff>
    </xdr:to>
    <xdr:sp macro="" textlink="">
      <xdr:nvSpPr>
        <xdr:cNvPr id="206" name="Text Box 274">
          <a:extLst>
            <a:ext uri="{FF2B5EF4-FFF2-40B4-BE49-F238E27FC236}">
              <a16:creationId xmlns:a16="http://schemas.microsoft.com/office/drawing/2014/main" id="{D701AC15-8677-67DF-4AD7-FABB1FFF7C3C}"/>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207" name="Text Box 275">
          <a:extLst>
            <a:ext uri="{FF2B5EF4-FFF2-40B4-BE49-F238E27FC236}">
              <a16:creationId xmlns:a16="http://schemas.microsoft.com/office/drawing/2014/main" id="{7A7ABB7E-964D-477F-05E9-D7CE648A9C50}"/>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49530</xdr:rowOff>
    </xdr:to>
    <xdr:sp macro="" textlink="">
      <xdr:nvSpPr>
        <xdr:cNvPr id="208" name="Text Box 276">
          <a:extLst>
            <a:ext uri="{FF2B5EF4-FFF2-40B4-BE49-F238E27FC236}">
              <a16:creationId xmlns:a16="http://schemas.microsoft.com/office/drawing/2014/main" id="{73158FA4-63D1-4707-943A-9D41FD1D5015}"/>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25</xdr:row>
      <xdr:rowOff>47625</xdr:rowOff>
    </xdr:from>
    <xdr:to>
      <xdr:col>33</xdr:col>
      <xdr:colOff>0</xdr:colOff>
      <xdr:row>26</xdr:row>
      <xdr:rowOff>68671</xdr:rowOff>
    </xdr:to>
    <xdr:sp macro="" textlink="">
      <xdr:nvSpPr>
        <xdr:cNvPr id="209" name="Text Box 277">
          <a:extLst>
            <a:ext uri="{FF2B5EF4-FFF2-40B4-BE49-F238E27FC236}">
              <a16:creationId xmlns:a16="http://schemas.microsoft.com/office/drawing/2014/main" id="{85576C5E-491C-73FF-5FCE-FC7AC936C032}"/>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210" name="Text Box 278">
          <a:extLst>
            <a:ext uri="{FF2B5EF4-FFF2-40B4-BE49-F238E27FC236}">
              <a16:creationId xmlns:a16="http://schemas.microsoft.com/office/drawing/2014/main" id="{162F1380-13F4-A194-21E8-468B07818527}"/>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49530</xdr:rowOff>
    </xdr:to>
    <xdr:sp macro="" textlink="">
      <xdr:nvSpPr>
        <xdr:cNvPr id="211" name="Text Box 279">
          <a:extLst>
            <a:ext uri="{FF2B5EF4-FFF2-40B4-BE49-F238E27FC236}">
              <a16:creationId xmlns:a16="http://schemas.microsoft.com/office/drawing/2014/main" id="{D269FDCE-2464-EABF-45A4-23BC137E1896}"/>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25</xdr:row>
      <xdr:rowOff>47625</xdr:rowOff>
    </xdr:from>
    <xdr:to>
      <xdr:col>61</xdr:col>
      <xdr:colOff>0</xdr:colOff>
      <xdr:row>26</xdr:row>
      <xdr:rowOff>68671</xdr:rowOff>
    </xdr:to>
    <xdr:sp macro="" textlink="">
      <xdr:nvSpPr>
        <xdr:cNvPr id="218" name="Text Box 286">
          <a:extLst>
            <a:ext uri="{FF2B5EF4-FFF2-40B4-BE49-F238E27FC236}">
              <a16:creationId xmlns:a16="http://schemas.microsoft.com/office/drawing/2014/main" id="{DF4BB424-842E-FF95-94D2-B6455EB3D532}"/>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219" name="Text Box 287">
          <a:extLst>
            <a:ext uri="{FF2B5EF4-FFF2-40B4-BE49-F238E27FC236}">
              <a16:creationId xmlns:a16="http://schemas.microsoft.com/office/drawing/2014/main" id="{33C8F9CE-4309-A298-1D12-D6E0F6CC98E6}"/>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49530</xdr:rowOff>
    </xdr:to>
    <xdr:sp macro="" textlink="">
      <xdr:nvSpPr>
        <xdr:cNvPr id="220" name="Text Box 288">
          <a:extLst>
            <a:ext uri="{FF2B5EF4-FFF2-40B4-BE49-F238E27FC236}">
              <a16:creationId xmlns:a16="http://schemas.microsoft.com/office/drawing/2014/main" id="{27EE3B17-353C-C948-7C68-021D79617897}"/>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25</xdr:row>
      <xdr:rowOff>47625</xdr:rowOff>
    </xdr:from>
    <xdr:to>
      <xdr:col>71</xdr:col>
      <xdr:colOff>0</xdr:colOff>
      <xdr:row>26</xdr:row>
      <xdr:rowOff>68671</xdr:rowOff>
    </xdr:to>
    <xdr:sp macro="" textlink="">
      <xdr:nvSpPr>
        <xdr:cNvPr id="221" name="Text Box 289">
          <a:extLst>
            <a:ext uri="{FF2B5EF4-FFF2-40B4-BE49-F238E27FC236}">
              <a16:creationId xmlns:a16="http://schemas.microsoft.com/office/drawing/2014/main" id="{FFEAA5BC-FE87-6153-8062-7E9D2500F87C}"/>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222" name="Text Box 290">
          <a:extLst>
            <a:ext uri="{FF2B5EF4-FFF2-40B4-BE49-F238E27FC236}">
              <a16:creationId xmlns:a16="http://schemas.microsoft.com/office/drawing/2014/main" id="{4A9D307D-6457-35B9-EE6E-A2AC1E1EA64C}"/>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49530</xdr:rowOff>
    </xdr:to>
    <xdr:sp macro="" textlink="">
      <xdr:nvSpPr>
        <xdr:cNvPr id="223" name="Text Box 291">
          <a:extLst>
            <a:ext uri="{FF2B5EF4-FFF2-40B4-BE49-F238E27FC236}">
              <a16:creationId xmlns:a16="http://schemas.microsoft.com/office/drawing/2014/main" id="{BB8C3259-EFF2-246A-55C0-CD6AE6302C16}"/>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25</xdr:row>
      <xdr:rowOff>47625</xdr:rowOff>
    </xdr:from>
    <xdr:to>
      <xdr:col>80</xdr:col>
      <xdr:colOff>0</xdr:colOff>
      <xdr:row>26</xdr:row>
      <xdr:rowOff>68671</xdr:rowOff>
    </xdr:to>
    <xdr:sp macro="" textlink="">
      <xdr:nvSpPr>
        <xdr:cNvPr id="224" name="Text Box 292">
          <a:extLst>
            <a:ext uri="{FF2B5EF4-FFF2-40B4-BE49-F238E27FC236}">
              <a16:creationId xmlns:a16="http://schemas.microsoft.com/office/drawing/2014/main" id="{6A1F866E-8CBF-3EFC-67E3-F506ABCE382F}"/>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225" name="Text Box 293">
          <a:extLst>
            <a:ext uri="{FF2B5EF4-FFF2-40B4-BE49-F238E27FC236}">
              <a16:creationId xmlns:a16="http://schemas.microsoft.com/office/drawing/2014/main" id="{8D6CEBC3-F23F-5B31-E0C0-E2D0522C304C}"/>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49530</xdr:rowOff>
    </xdr:to>
    <xdr:sp macro="" textlink="">
      <xdr:nvSpPr>
        <xdr:cNvPr id="226" name="Text Box 294">
          <a:extLst>
            <a:ext uri="{FF2B5EF4-FFF2-40B4-BE49-F238E27FC236}">
              <a16:creationId xmlns:a16="http://schemas.microsoft.com/office/drawing/2014/main" id="{296EA863-FE5D-20D8-F53E-A2D59ED90E96}"/>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68580</xdr:rowOff>
    </xdr:to>
    <xdr:sp macro="" textlink="">
      <xdr:nvSpPr>
        <xdr:cNvPr id="1608" name="Text Box 366">
          <a:extLst>
            <a:ext uri="{FF2B5EF4-FFF2-40B4-BE49-F238E27FC236}">
              <a16:creationId xmlns:a16="http://schemas.microsoft.com/office/drawing/2014/main" id="{1C46CA0E-AF6D-BF68-ACEB-6EAE77391ED4}"/>
            </a:ext>
          </a:extLst>
        </xdr:cNvPr>
        <xdr:cNvSpPr txBox="1">
          <a:spLocks noChangeArrowheads="1"/>
        </xdr:cNvSpPr>
      </xdr:nvSpPr>
      <xdr:spPr bwMode="auto">
        <a:xfrm>
          <a:off x="7040880" y="34213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80</xdr:row>
      <xdr:rowOff>59055</xdr:rowOff>
    </xdr:from>
    <xdr:to>
      <xdr:col>8</xdr:col>
      <xdr:colOff>0</xdr:colOff>
      <xdr:row>81</xdr:row>
      <xdr:rowOff>49530</xdr:rowOff>
    </xdr:to>
    <xdr:sp macro="" textlink="">
      <xdr:nvSpPr>
        <xdr:cNvPr id="231" name="Text Box 370">
          <a:extLst>
            <a:ext uri="{FF2B5EF4-FFF2-40B4-BE49-F238E27FC236}">
              <a16:creationId xmlns:a16="http://schemas.microsoft.com/office/drawing/2014/main" id="{F52726AB-BA72-1C30-AAA1-03625F2315A0}"/>
            </a:ext>
          </a:extLst>
        </xdr:cNvPr>
        <xdr:cNvSpPr txBox="1">
          <a:spLocks noChangeArrowheads="1"/>
        </xdr:cNvSpPr>
      </xdr:nvSpPr>
      <xdr:spPr bwMode="auto">
        <a:xfrm>
          <a:off x="61531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26</xdr:row>
      <xdr:rowOff>53340</xdr:rowOff>
    </xdr:from>
    <xdr:to>
      <xdr:col>17</xdr:col>
      <xdr:colOff>0</xdr:colOff>
      <xdr:row>27</xdr:row>
      <xdr:rowOff>68580</xdr:rowOff>
    </xdr:to>
    <xdr:sp macro="" textlink="">
      <xdr:nvSpPr>
        <xdr:cNvPr id="1610" name="Text Box 372">
          <a:extLst>
            <a:ext uri="{FF2B5EF4-FFF2-40B4-BE49-F238E27FC236}">
              <a16:creationId xmlns:a16="http://schemas.microsoft.com/office/drawing/2014/main" id="{B681E87A-C1A1-E3AF-FA0B-1EA3FD9EE588}"/>
            </a:ext>
          </a:extLst>
        </xdr:cNvPr>
        <xdr:cNvSpPr txBox="1">
          <a:spLocks noChangeArrowheads="1"/>
        </xdr:cNvSpPr>
      </xdr:nvSpPr>
      <xdr:spPr bwMode="auto">
        <a:xfrm>
          <a:off x="12580620" y="34213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80</xdr:row>
      <xdr:rowOff>59055</xdr:rowOff>
    </xdr:from>
    <xdr:to>
      <xdr:col>17</xdr:col>
      <xdr:colOff>0</xdr:colOff>
      <xdr:row>81</xdr:row>
      <xdr:rowOff>49530</xdr:rowOff>
    </xdr:to>
    <xdr:sp macro="" textlink="">
      <xdr:nvSpPr>
        <xdr:cNvPr id="233" name="Text Box 376">
          <a:extLst>
            <a:ext uri="{FF2B5EF4-FFF2-40B4-BE49-F238E27FC236}">
              <a16:creationId xmlns:a16="http://schemas.microsoft.com/office/drawing/2014/main" id="{B75A7A2B-1536-9059-5CB6-77B5F5A01EA9}"/>
            </a:ext>
          </a:extLst>
        </xdr:cNvPr>
        <xdr:cNvSpPr txBox="1">
          <a:spLocks noChangeArrowheads="1"/>
        </xdr:cNvSpPr>
      </xdr:nvSpPr>
      <xdr:spPr bwMode="auto">
        <a:xfrm>
          <a:off x="142398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26</xdr:row>
      <xdr:rowOff>53340</xdr:rowOff>
    </xdr:from>
    <xdr:to>
      <xdr:col>25</xdr:col>
      <xdr:colOff>0</xdr:colOff>
      <xdr:row>27</xdr:row>
      <xdr:rowOff>68580</xdr:rowOff>
    </xdr:to>
    <xdr:sp macro="" textlink="">
      <xdr:nvSpPr>
        <xdr:cNvPr id="1612" name="Text Box 378">
          <a:extLst>
            <a:ext uri="{FF2B5EF4-FFF2-40B4-BE49-F238E27FC236}">
              <a16:creationId xmlns:a16="http://schemas.microsoft.com/office/drawing/2014/main" id="{99642B5F-D717-ABAC-36D7-34685583C375}"/>
            </a:ext>
          </a:extLst>
        </xdr:cNvPr>
        <xdr:cNvSpPr txBox="1">
          <a:spLocks noChangeArrowheads="1"/>
        </xdr:cNvSpPr>
      </xdr:nvSpPr>
      <xdr:spPr bwMode="auto">
        <a:xfrm>
          <a:off x="17640300" y="34213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80</xdr:row>
      <xdr:rowOff>59055</xdr:rowOff>
    </xdr:from>
    <xdr:to>
      <xdr:col>25</xdr:col>
      <xdr:colOff>0</xdr:colOff>
      <xdr:row>81</xdr:row>
      <xdr:rowOff>49530</xdr:rowOff>
    </xdr:to>
    <xdr:sp macro="" textlink="">
      <xdr:nvSpPr>
        <xdr:cNvPr id="235" name="Text Box 382">
          <a:extLst>
            <a:ext uri="{FF2B5EF4-FFF2-40B4-BE49-F238E27FC236}">
              <a16:creationId xmlns:a16="http://schemas.microsoft.com/office/drawing/2014/main" id="{4B40AD6F-0DC9-7388-91E6-24EA7F70463E}"/>
            </a:ext>
          </a:extLst>
        </xdr:cNvPr>
        <xdr:cNvSpPr txBox="1">
          <a:spLocks noChangeArrowheads="1"/>
        </xdr:cNvSpPr>
      </xdr:nvSpPr>
      <xdr:spPr bwMode="auto">
        <a:xfrm>
          <a:off x="21631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26</xdr:row>
      <xdr:rowOff>53340</xdr:rowOff>
    </xdr:from>
    <xdr:to>
      <xdr:col>33</xdr:col>
      <xdr:colOff>0</xdr:colOff>
      <xdr:row>27</xdr:row>
      <xdr:rowOff>68580</xdr:rowOff>
    </xdr:to>
    <xdr:sp macro="" textlink="">
      <xdr:nvSpPr>
        <xdr:cNvPr id="1614" name="Text Box 384">
          <a:extLst>
            <a:ext uri="{FF2B5EF4-FFF2-40B4-BE49-F238E27FC236}">
              <a16:creationId xmlns:a16="http://schemas.microsoft.com/office/drawing/2014/main" id="{020CB923-A4FB-27E0-D4D7-C0B8A1BC8800}"/>
            </a:ext>
          </a:extLst>
        </xdr:cNvPr>
        <xdr:cNvSpPr txBox="1">
          <a:spLocks noChangeArrowheads="1"/>
        </xdr:cNvSpPr>
      </xdr:nvSpPr>
      <xdr:spPr bwMode="auto">
        <a:xfrm>
          <a:off x="22837140" y="34213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80</xdr:row>
      <xdr:rowOff>59055</xdr:rowOff>
    </xdr:from>
    <xdr:to>
      <xdr:col>33</xdr:col>
      <xdr:colOff>0</xdr:colOff>
      <xdr:row>81</xdr:row>
      <xdr:rowOff>49530</xdr:rowOff>
    </xdr:to>
    <xdr:sp macro="" textlink="">
      <xdr:nvSpPr>
        <xdr:cNvPr id="237" name="Text Box 388">
          <a:extLst>
            <a:ext uri="{FF2B5EF4-FFF2-40B4-BE49-F238E27FC236}">
              <a16:creationId xmlns:a16="http://schemas.microsoft.com/office/drawing/2014/main" id="{771EBD71-701A-736F-6E54-88A8C18B28EE}"/>
            </a:ext>
          </a:extLst>
        </xdr:cNvPr>
        <xdr:cNvSpPr txBox="1">
          <a:spLocks noChangeArrowheads="1"/>
        </xdr:cNvSpPr>
      </xdr:nvSpPr>
      <xdr:spPr bwMode="auto">
        <a:xfrm>
          <a:off x="2904172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26</xdr:row>
      <xdr:rowOff>53340</xdr:rowOff>
    </xdr:from>
    <xdr:to>
      <xdr:col>61</xdr:col>
      <xdr:colOff>0</xdr:colOff>
      <xdr:row>27</xdr:row>
      <xdr:rowOff>68580</xdr:rowOff>
    </xdr:to>
    <xdr:sp macro="" textlink="">
      <xdr:nvSpPr>
        <xdr:cNvPr id="1616" name="Text Box 402">
          <a:extLst>
            <a:ext uri="{FF2B5EF4-FFF2-40B4-BE49-F238E27FC236}">
              <a16:creationId xmlns:a16="http://schemas.microsoft.com/office/drawing/2014/main" id="{3FEAF324-EB65-52BB-FEA8-C99E2BC68D70}"/>
            </a:ext>
          </a:extLst>
        </xdr:cNvPr>
        <xdr:cNvSpPr txBox="1">
          <a:spLocks noChangeArrowheads="1"/>
        </xdr:cNvSpPr>
      </xdr:nvSpPr>
      <xdr:spPr bwMode="auto">
        <a:xfrm>
          <a:off x="39547800" y="34213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80</xdr:row>
      <xdr:rowOff>59055</xdr:rowOff>
    </xdr:from>
    <xdr:to>
      <xdr:col>61</xdr:col>
      <xdr:colOff>0</xdr:colOff>
      <xdr:row>81</xdr:row>
      <xdr:rowOff>49530</xdr:rowOff>
    </xdr:to>
    <xdr:sp macro="" textlink="">
      <xdr:nvSpPr>
        <xdr:cNvPr id="243" name="Text Box 406">
          <a:extLst>
            <a:ext uri="{FF2B5EF4-FFF2-40B4-BE49-F238E27FC236}">
              <a16:creationId xmlns:a16="http://schemas.microsoft.com/office/drawing/2014/main" id="{9991AC57-9334-7CD0-EB02-3D4C4BAF5C2D}"/>
            </a:ext>
          </a:extLst>
        </xdr:cNvPr>
        <xdr:cNvSpPr txBox="1">
          <a:spLocks noChangeArrowheads="1"/>
        </xdr:cNvSpPr>
      </xdr:nvSpPr>
      <xdr:spPr bwMode="auto">
        <a:xfrm>
          <a:off x="553116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26</xdr:row>
      <xdr:rowOff>53340</xdr:rowOff>
    </xdr:from>
    <xdr:to>
      <xdr:col>71</xdr:col>
      <xdr:colOff>0</xdr:colOff>
      <xdr:row>27</xdr:row>
      <xdr:rowOff>68580</xdr:rowOff>
    </xdr:to>
    <xdr:sp macro="" textlink="">
      <xdr:nvSpPr>
        <xdr:cNvPr id="1618" name="Text Box 408">
          <a:extLst>
            <a:ext uri="{FF2B5EF4-FFF2-40B4-BE49-F238E27FC236}">
              <a16:creationId xmlns:a16="http://schemas.microsoft.com/office/drawing/2014/main" id="{423BBE3F-7265-111C-7962-743BD39D1475}"/>
            </a:ext>
          </a:extLst>
        </xdr:cNvPr>
        <xdr:cNvSpPr txBox="1">
          <a:spLocks noChangeArrowheads="1"/>
        </xdr:cNvSpPr>
      </xdr:nvSpPr>
      <xdr:spPr bwMode="auto">
        <a:xfrm>
          <a:off x="46573440" y="34213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80</xdr:row>
      <xdr:rowOff>59055</xdr:rowOff>
    </xdr:from>
    <xdr:to>
      <xdr:col>71</xdr:col>
      <xdr:colOff>0</xdr:colOff>
      <xdr:row>81</xdr:row>
      <xdr:rowOff>49530</xdr:rowOff>
    </xdr:to>
    <xdr:sp macro="" textlink="">
      <xdr:nvSpPr>
        <xdr:cNvPr id="245" name="Text Box 412">
          <a:extLst>
            <a:ext uri="{FF2B5EF4-FFF2-40B4-BE49-F238E27FC236}">
              <a16:creationId xmlns:a16="http://schemas.microsoft.com/office/drawing/2014/main" id="{C55399BC-CA5E-87E7-6195-06C1C290E2AB}"/>
            </a:ext>
          </a:extLst>
        </xdr:cNvPr>
        <xdr:cNvSpPr txBox="1">
          <a:spLocks noChangeArrowheads="1"/>
        </xdr:cNvSpPr>
      </xdr:nvSpPr>
      <xdr:spPr bwMode="auto">
        <a:xfrm>
          <a:off x="64684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68580</xdr:rowOff>
    </xdr:to>
    <xdr:sp macro="" textlink="">
      <xdr:nvSpPr>
        <xdr:cNvPr id="1620" name="Text Box 414">
          <a:extLst>
            <a:ext uri="{FF2B5EF4-FFF2-40B4-BE49-F238E27FC236}">
              <a16:creationId xmlns:a16="http://schemas.microsoft.com/office/drawing/2014/main" id="{8915644F-28FD-D194-7091-7D51B6501892}"/>
            </a:ext>
          </a:extLst>
        </xdr:cNvPr>
        <xdr:cNvSpPr txBox="1">
          <a:spLocks noChangeArrowheads="1"/>
        </xdr:cNvSpPr>
      </xdr:nvSpPr>
      <xdr:spPr bwMode="auto">
        <a:xfrm>
          <a:off x="53682900" y="34213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80</xdr:row>
      <xdr:rowOff>59055</xdr:rowOff>
    </xdr:from>
    <xdr:to>
      <xdr:col>80</xdr:col>
      <xdr:colOff>0</xdr:colOff>
      <xdr:row>81</xdr:row>
      <xdr:rowOff>49530</xdr:rowOff>
    </xdr:to>
    <xdr:sp macro="" textlink="">
      <xdr:nvSpPr>
        <xdr:cNvPr id="247" name="Text Box 418">
          <a:extLst>
            <a:ext uri="{FF2B5EF4-FFF2-40B4-BE49-F238E27FC236}">
              <a16:creationId xmlns:a16="http://schemas.microsoft.com/office/drawing/2014/main" id="{D9E2E60C-BD50-B8D7-450F-0FA7503A9FA8}"/>
            </a:ext>
          </a:extLst>
        </xdr:cNvPr>
        <xdr:cNvSpPr txBox="1">
          <a:spLocks noChangeArrowheads="1"/>
        </xdr:cNvSpPr>
      </xdr:nvSpPr>
      <xdr:spPr bwMode="auto">
        <a:xfrm>
          <a:off x="7349490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622" name="Text Box 449">
          <a:extLst>
            <a:ext uri="{FF2B5EF4-FFF2-40B4-BE49-F238E27FC236}">
              <a16:creationId xmlns:a16="http://schemas.microsoft.com/office/drawing/2014/main" id="{3A4FAC85-3332-754F-9F54-DD4FE30AF8DA}"/>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623" name="Text Box 452">
          <a:extLst>
            <a:ext uri="{FF2B5EF4-FFF2-40B4-BE49-F238E27FC236}">
              <a16:creationId xmlns:a16="http://schemas.microsoft.com/office/drawing/2014/main" id="{D1FBCB98-5575-0FA9-2802-B50CD84C191F}"/>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25</xdr:row>
      <xdr:rowOff>59055</xdr:rowOff>
    </xdr:from>
    <xdr:to>
      <xdr:col>8</xdr:col>
      <xdr:colOff>0</xdr:colOff>
      <xdr:row>26</xdr:row>
      <xdr:rowOff>68580</xdr:rowOff>
    </xdr:to>
    <xdr:sp macro="" textlink="">
      <xdr:nvSpPr>
        <xdr:cNvPr id="252" name="Text Box 454">
          <a:extLst>
            <a:ext uri="{FF2B5EF4-FFF2-40B4-BE49-F238E27FC236}">
              <a16:creationId xmlns:a16="http://schemas.microsoft.com/office/drawing/2014/main" id="{E0FF4E70-E1D3-3094-6FFB-86AFB965D1E4}"/>
            </a:ext>
          </a:extLst>
        </xdr:cNvPr>
        <xdr:cNvSpPr txBox="1">
          <a:spLocks noChangeArrowheads="1"/>
        </xdr:cNvSpPr>
      </xdr:nvSpPr>
      <xdr:spPr bwMode="auto">
        <a:xfrm>
          <a:off x="615315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59055</xdr:rowOff>
    </xdr:from>
    <xdr:to>
      <xdr:col>8</xdr:col>
      <xdr:colOff>0</xdr:colOff>
      <xdr:row>27</xdr:row>
      <xdr:rowOff>59055</xdr:rowOff>
    </xdr:to>
    <xdr:sp macro="" textlink="">
      <xdr:nvSpPr>
        <xdr:cNvPr id="253" name="Text Box 455">
          <a:extLst>
            <a:ext uri="{FF2B5EF4-FFF2-40B4-BE49-F238E27FC236}">
              <a16:creationId xmlns:a16="http://schemas.microsoft.com/office/drawing/2014/main" id="{283D77F2-FC34-5265-3C9C-0A8A1F31511B}"/>
            </a:ext>
          </a:extLst>
        </xdr:cNvPr>
        <xdr:cNvSpPr txBox="1">
          <a:spLocks noChangeArrowheads="1"/>
        </xdr:cNvSpPr>
      </xdr:nvSpPr>
      <xdr:spPr bwMode="auto">
        <a:xfrm>
          <a:off x="615315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68580</xdr:rowOff>
    </xdr:to>
    <xdr:sp macro="" textlink="">
      <xdr:nvSpPr>
        <xdr:cNvPr id="1626" name="Text Box 456">
          <a:extLst>
            <a:ext uri="{FF2B5EF4-FFF2-40B4-BE49-F238E27FC236}">
              <a16:creationId xmlns:a16="http://schemas.microsoft.com/office/drawing/2014/main" id="{CA36C42F-F044-CCA3-8D2D-CDEE9ECC178F}"/>
            </a:ext>
          </a:extLst>
        </xdr:cNvPr>
        <xdr:cNvSpPr txBox="1">
          <a:spLocks noChangeArrowheads="1"/>
        </xdr:cNvSpPr>
      </xdr:nvSpPr>
      <xdr:spPr bwMode="auto">
        <a:xfrm>
          <a:off x="704088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68580</xdr:rowOff>
    </xdr:to>
    <xdr:sp macro="" textlink="">
      <xdr:nvSpPr>
        <xdr:cNvPr id="1627" name="Text Box 457">
          <a:extLst>
            <a:ext uri="{FF2B5EF4-FFF2-40B4-BE49-F238E27FC236}">
              <a16:creationId xmlns:a16="http://schemas.microsoft.com/office/drawing/2014/main" id="{715291ED-7F62-9F07-3875-C237359A493F}"/>
            </a:ext>
          </a:extLst>
        </xdr:cNvPr>
        <xdr:cNvSpPr txBox="1">
          <a:spLocks noChangeArrowheads="1"/>
        </xdr:cNvSpPr>
      </xdr:nvSpPr>
      <xdr:spPr bwMode="auto">
        <a:xfrm>
          <a:off x="704088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25</xdr:row>
      <xdr:rowOff>59055</xdr:rowOff>
    </xdr:from>
    <xdr:to>
      <xdr:col>17</xdr:col>
      <xdr:colOff>0</xdr:colOff>
      <xdr:row>26</xdr:row>
      <xdr:rowOff>68580</xdr:rowOff>
    </xdr:to>
    <xdr:sp macro="" textlink="">
      <xdr:nvSpPr>
        <xdr:cNvPr id="256" name="Text Box 458">
          <a:extLst>
            <a:ext uri="{FF2B5EF4-FFF2-40B4-BE49-F238E27FC236}">
              <a16:creationId xmlns:a16="http://schemas.microsoft.com/office/drawing/2014/main" id="{A8354B82-74D9-5A7D-A391-89CF73C34D5D}"/>
            </a:ext>
          </a:extLst>
        </xdr:cNvPr>
        <xdr:cNvSpPr txBox="1">
          <a:spLocks noChangeArrowheads="1"/>
        </xdr:cNvSpPr>
      </xdr:nvSpPr>
      <xdr:spPr bwMode="auto">
        <a:xfrm>
          <a:off x="142398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59055</xdr:rowOff>
    </xdr:from>
    <xdr:to>
      <xdr:col>17</xdr:col>
      <xdr:colOff>0</xdr:colOff>
      <xdr:row>27</xdr:row>
      <xdr:rowOff>59055</xdr:rowOff>
    </xdr:to>
    <xdr:sp macro="" textlink="">
      <xdr:nvSpPr>
        <xdr:cNvPr id="257" name="Text Box 459">
          <a:extLst>
            <a:ext uri="{FF2B5EF4-FFF2-40B4-BE49-F238E27FC236}">
              <a16:creationId xmlns:a16="http://schemas.microsoft.com/office/drawing/2014/main" id="{CCEE40DA-F2C6-747B-04A3-14B007DDEE71}"/>
            </a:ext>
          </a:extLst>
        </xdr:cNvPr>
        <xdr:cNvSpPr txBox="1">
          <a:spLocks noChangeArrowheads="1"/>
        </xdr:cNvSpPr>
      </xdr:nvSpPr>
      <xdr:spPr bwMode="auto">
        <a:xfrm>
          <a:off x="142398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28</xdr:row>
      <xdr:rowOff>53340</xdr:rowOff>
    </xdr:from>
    <xdr:to>
      <xdr:col>17</xdr:col>
      <xdr:colOff>0</xdr:colOff>
      <xdr:row>29</xdr:row>
      <xdr:rowOff>68580</xdr:rowOff>
    </xdr:to>
    <xdr:sp macro="" textlink="">
      <xdr:nvSpPr>
        <xdr:cNvPr id="1630" name="Text Box 460">
          <a:extLst>
            <a:ext uri="{FF2B5EF4-FFF2-40B4-BE49-F238E27FC236}">
              <a16:creationId xmlns:a16="http://schemas.microsoft.com/office/drawing/2014/main" id="{343A51F3-DE58-47AF-D247-3C5988AE3CF0}"/>
            </a:ext>
          </a:extLst>
        </xdr:cNvPr>
        <xdr:cNvSpPr txBox="1">
          <a:spLocks noChangeArrowheads="1"/>
        </xdr:cNvSpPr>
      </xdr:nvSpPr>
      <xdr:spPr bwMode="auto">
        <a:xfrm>
          <a:off x="125806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28</xdr:row>
      <xdr:rowOff>53340</xdr:rowOff>
    </xdr:from>
    <xdr:to>
      <xdr:col>17</xdr:col>
      <xdr:colOff>0</xdr:colOff>
      <xdr:row>29</xdr:row>
      <xdr:rowOff>68580</xdr:rowOff>
    </xdr:to>
    <xdr:sp macro="" textlink="">
      <xdr:nvSpPr>
        <xdr:cNvPr id="1631" name="Text Box 461">
          <a:extLst>
            <a:ext uri="{FF2B5EF4-FFF2-40B4-BE49-F238E27FC236}">
              <a16:creationId xmlns:a16="http://schemas.microsoft.com/office/drawing/2014/main" id="{8EB32B6B-7ADE-80A8-265F-7BE291EB25CA}"/>
            </a:ext>
          </a:extLst>
        </xdr:cNvPr>
        <xdr:cNvSpPr txBox="1">
          <a:spLocks noChangeArrowheads="1"/>
        </xdr:cNvSpPr>
      </xdr:nvSpPr>
      <xdr:spPr bwMode="auto">
        <a:xfrm>
          <a:off x="125806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25</xdr:row>
      <xdr:rowOff>59055</xdr:rowOff>
    </xdr:from>
    <xdr:to>
      <xdr:col>25</xdr:col>
      <xdr:colOff>0</xdr:colOff>
      <xdr:row>26</xdr:row>
      <xdr:rowOff>68580</xdr:rowOff>
    </xdr:to>
    <xdr:sp macro="" textlink="">
      <xdr:nvSpPr>
        <xdr:cNvPr id="260" name="Text Box 462">
          <a:extLst>
            <a:ext uri="{FF2B5EF4-FFF2-40B4-BE49-F238E27FC236}">
              <a16:creationId xmlns:a16="http://schemas.microsoft.com/office/drawing/2014/main" id="{9AEFF414-1ED2-CE62-BCB3-534F77DEB2FB}"/>
            </a:ext>
          </a:extLst>
        </xdr:cNvPr>
        <xdr:cNvSpPr txBox="1">
          <a:spLocks noChangeArrowheads="1"/>
        </xdr:cNvSpPr>
      </xdr:nvSpPr>
      <xdr:spPr bwMode="auto">
        <a:xfrm>
          <a:off x="21631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59055</xdr:rowOff>
    </xdr:from>
    <xdr:to>
      <xdr:col>25</xdr:col>
      <xdr:colOff>0</xdr:colOff>
      <xdr:row>27</xdr:row>
      <xdr:rowOff>59055</xdr:rowOff>
    </xdr:to>
    <xdr:sp macro="" textlink="">
      <xdr:nvSpPr>
        <xdr:cNvPr id="261" name="Text Box 463">
          <a:extLst>
            <a:ext uri="{FF2B5EF4-FFF2-40B4-BE49-F238E27FC236}">
              <a16:creationId xmlns:a16="http://schemas.microsoft.com/office/drawing/2014/main" id="{A0AC89B4-63E7-2BD4-1C7F-8F4A040C7D00}"/>
            </a:ext>
          </a:extLst>
        </xdr:cNvPr>
        <xdr:cNvSpPr txBox="1">
          <a:spLocks noChangeArrowheads="1"/>
        </xdr:cNvSpPr>
      </xdr:nvSpPr>
      <xdr:spPr bwMode="auto">
        <a:xfrm>
          <a:off x="21631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28</xdr:row>
      <xdr:rowOff>53340</xdr:rowOff>
    </xdr:from>
    <xdr:to>
      <xdr:col>25</xdr:col>
      <xdr:colOff>0</xdr:colOff>
      <xdr:row>29</xdr:row>
      <xdr:rowOff>68580</xdr:rowOff>
    </xdr:to>
    <xdr:sp macro="" textlink="">
      <xdr:nvSpPr>
        <xdr:cNvPr id="1634" name="Text Box 464">
          <a:extLst>
            <a:ext uri="{FF2B5EF4-FFF2-40B4-BE49-F238E27FC236}">
              <a16:creationId xmlns:a16="http://schemas.microsoft.com/office/drawing/2014/main" id="{7342B54B-0817-59CA-C396-9A18379EF563}"/>
            </a:ext>
          </a:extLst>
        </xdr:cNvPr>
        <xdr:cNvSpPr txBox="1">
          <a:spLocks noChangeArrowheads="1"/>
        </xdr:cNvSpPr>
      </xdr:nvSpPr>
      <xdr:spPr bwMode="auto">
        <a:xfrm>
          <a:off x="17640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28</xdr:row>
      <xdr:rowOff>53340</xdr:rowOff>
    </xdr:from>
    <xdr:to>
      <xdr:col>25</xdr:col>
      <xdr:colOff>0</xdr:colOff>
      <xdr:row>29</xdr:row>
      <xdr:rowOff>68580</xdr:rowOff>
    </xdr:to>
    <xdr:sp macro="" textlink="">
      <xdr:nvSpPr>
        <xdr:cNvPr id="1635" name="Text Box 465">
          <a:extLst>
            <a:ext uri="{FF2B5EF4-FFF2-40B4-BE49-F238E27FC236}">
              <a16:creationId xmlns:a16="http://schemas.microsoft.com/office/drawing/2014/main" id="{85BB519A-7D91-E8EC-CC01-2C6DACA830CF}"/>
            </a:ext>
          </a:extLst>
        </xdr:cNvPr>
        <xdr:cNvSpPr txBox="1">
          <a:spLocks noChangeArrowheads="1"/>
        </xdr:cNvSpPr>
      </xdr:nvSpPr>
      <xdr:spPr bwMode="auto">
        <a:xfrm>
          <a:off x="17640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25</xdr:row>
      <xdr:rowOff>59055</xdr:rowOff>
    </xdr:from>
    <xdr:to>
      <xdr:col>33</xdr:col>
      <xdr:colOff>0</xdr:colOff>
      <xdr:row>26</xdr:row>
      <xdr:rowOff>68580</xdr:rowOff>
    </xdr:to>
    <xdr:sp macro="" textlink="">
      <xdr:nvSpPr>
        <xdr:cNvPr id="264" name="Text Box 466">
          <a:extLst>
            <a:ext uri="{FF2B5EF4-FFF2-40B4-BE49-F238E27FC236}">
              <a16:creationId xmlns:a16="http://schemas.microsoft.com/office/drawing/2014/main" id="{112EBCFD-0DF8-434E-181C-34D2DA938D1E}"/>
            </a:ext>
          </a:extLst>
        </xdr:cNvPr>
        <xdr:cNvSpPr txBox="1">
          <a:spLocks noChangeArrowheads="1"/>
        </xdr:cNvSpPr>
      </xdr:nvSpPr>
      <xdr:spPr bwMode="auto">
        <a:xfrm>
          <a:off x="2904172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59055</xdr:rowOff>
    </xdr:from>
    <xdr:to>
      <xdr:col>33</xdr:col>
      <xdr:colOff>0</xdr:colOff>
      <xdr:row>27</xdr:row>
      <xdr:rowOff>59055</xdr:rowOff>
    </xdr:to>
    <xdr:sp macro="" textlink="">
      <xdr:nvSpPr>
        <xdr:cNvPr id="265" name="Text Box 467">
          <a:extLst>
            <a:ext uri="{FF2B5EF4-FFF2-40B4-BE49-F238E27FC236}">
              <a16:creationId xmlns:a16="http://schemas.microsoft.com/office/drawing/2014/main" id="{D093CECE-4D40-AC2C-8F34-ECA55F5A3037}"/>
            </a:ext>
          </a:extLst>
        </xdr:cNvPr>
        <xdr:cNvSpPr txBox="1">
          <a:spLocks noChangeArrowheads="1"/>
        </xdr:cNvSpPr>
      </xdr:nvSpPr>
      <xdr:spPr bwMode="auto">
        <a:xfrm>
          <a:off x="2904172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28</xdr:row>
      <xdr:rowOff>53340</xdr:rowOff>
    </xdr:from>
    <xdr:to>
      <xdr:col>33</xdr:col>
      <xdr:colOff>0</xdr:colOff>
      <xdr:row>29</xdr:row>
      <xdr:rowOff>68580</xdr:rowOff>
    </xdr:to>
    <xdr:sp macro="" textlink="">
      <xdr:nvSpPr>
        <xdr:cNvPr id="1638" name="Text Box 468">
          <a:extLst>
            <a:ext uri="{FF2B5EF4-FFF2-40B4-BE49-F238E27FC236}">
              <a16:creationId xmlns:a16="http://schemas.microsoft.com/office/drawing/2014/main" id="{7C4AEBF0-C79F-CC0E-2E1F-EE3252D886BD}"/>
            </a:ext>
          </a:extLst>
        </xdr:cNvPr>
        <xdr:cNvSpPr txBox="1">
          <a:spLocks noChangeArrowheads="1"/>
        </xdr:cNvSpPr>
      </xdr:nvSpPr>
      <xdr:spPr bwMode="auto">
        <a:xfrm>
          <a:off x="2283714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28</xdr:row>
      <xdr:rowOff>53340</xdr:rowOff>
    </xdr:from>
    <xdr:to>
      <xdr:col>33</xdr:col>
      <xdr:colOff>0</xdr:colOff>
      <xdr:row>29</xdr:row>
      <xdr:rowOff>68580</xdr:rowOff>
    </xdr:to>
    <xdr:sp macro="" textlink="">
      <xdr:nvSpPr>
        <xdr:cNvPr id="1639" name="Text Box 469">
          <a:extLst>
            <a:ext uri="{FF2B5EF4-FFF2-40B4-BE49-F238E27FC236}">
              <a16:creationId xmlns:a16="http://schemas.microsoft.com/office/drawing/2014/main" id="{CA8ECCF4-56A9-5940-7350-D1BB04AD3D39}"/>
            </a:ext>
          </a:extLst>
        </xdr:cNvPr>
        <xdr:cNvSpPr txBox="1">
          <a:spLocks noChangeArrowheads="1"/>
        </xdr:cNvSpPr>
      </xdr:nvSpPr>
      <xdr:spPr bwMode="auto">
        <a:xfrm>
          <a:off x="2283714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25</xdr:row>
      <xdr:rowOff>59055</xdr:rowOff>
    </xdr:from>
    <xdr:to>
      <xdr:col>61</xdr:col>
      <xdr:colOff>0</xdr:colOff>
      <xdr:row>26</xdr:row>
      <xdr:rowOff>68580</xdr:rowOff>
    </xdr:to>
    <xdr:sp macro="" textlink="">
      <xdr:nvSpPr>
        <xdr:cNvPr id="276" name="Text Box 478">
          <a:extLst>
            <a:ext uri="{FF2B5EF4-FFF2-40B4-BE49-F238E27FC236}">
              <a16:creationId xmlns:a16="http://schemas.microsoft.com/office/drawing/2014/main" id="{D32AD011-354C-DEF6-E4AC-0908441E23D7}"/>
            </a:ext>
          </a:extLst>
        </xdr:cNvPr>
        <xdr:cNvSpPr txBox="1">
          <a:spLocks noChangeArrowheads="1"/>
        </xdr:cNvSpPr>
      </xdr:nvSpPr>
      <xdr:spPr bwMode="auto">
        <a:xfrm>
          <a:off x="553116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59055</xdr:rowOff>
    </xdr:from>
    <xdr:to>
      <xdr:col>61</xdr:col>
      <xdr:colOff>0</xdr:colOff>
      <xdr:row>27</xdr:row>
      <xdr:rowOff>59055</xdr:rowOff>
    </xdr:to>
    <xdr:sp macro="" textlink="">
      <xdr:nvSpPr>
        <xdr:cNvPr id="277" name="Text Box 479">
          <a:extLst>
            <a:ext uri="{FF2B5EF4-FFF2-40B4-BE49-F238E27FC236}">
              <a16:creationId xmlns:a16="http://schemas.microsoft.com/office/drawing/2014/main" id="{3608DB60-86A6-6162-9F18-717D2665EC19}"/>
            </a:ext>
          </a:extLst>
        </xdr:cNvPr>
        <xdr:cNvSpPr txBox="1">
          <a:spLocks noChangeArrowheads="1"/>
        </xdr:cNvSpPr>
      </xdr:nvSpPr>
      <xdr:spPr bwMode="auto">
        <a:xfrm>
          <a:off x="553116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28</xdr:row>
      <xdr:rowOff>53340</xdr:rowOff>
    </xdr:from>
    <xdr:to>
      <xdr:col>61</xdr:col>
      <xdr:colOff>0</xdr:colOff>
      <xdr:row>29</xdr:row>
      <xdr:rowOff>68580</xdr:rowOff>
    </xdr:to>
    <xdr:sp macro="" textlink="">
      <xdr:nvSpPr>
        <xdr:cNvPr id="1642" name="Text Box 480">
          <a:extLst>
            <a:ext uri="{FF2B5EF4-FFF2-40B4-BE49-F238E27FC236}">
              <a16:creationId xmlns:a16="http://schemas.microsoft.com/office/drawing/2014/main" id="{B5F88E07-56F8-4C70-EA3B-8C142EB27A9C}"/>
            </a:ext>
          </a:extLst>
        </xdr:cNvPr>
        <xdr:cNvSpPr txBox="1">
          <a:spLocks noChangeArrowheads="1"/>
        </xdr:cNvSpPr>
      </xdr:nvSpPr>
      <xdr:spPr bwMode="auto">
        <a:xfrm>
          <a:off x="3954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28</xdr:row>
      <xdr:rowOff>53340</xdr:rowOff>
    </xdr:from>
    <xdr:to>
      <xdr:col>61</xdr:col>
      <xdr:colOff>0</xdr:colOff>
      <xdr:row>29</xdr:row>
      <xdr:rowOff>68580</xdr:rowOff>
    </xdr:to>
    <xdr:sp macro="" textlink="">
      <xdr:nvSpPr>
        <xdr:cNvPr id="1643" name="Text Box 481">
          <a:extLst>
            <a:ext uri="{FF2B5EF4-FFF2-40B4-BE49-F238E27FC236}">
              <a16:creationId xmlns:a16="http://schemas.microsoft.com/office/drawing/2014/main" id="{9C903D9D-825C-7BCB-C6C3-BFCD7BBE4CB9}"/>
            </a:ext>
          </a:extLst>
        </xdr:cNvPr>
        <xdr:cNvSpPr txBox="1">
          <a:spLocks noChangeArrowheads="1"/>
        </xdr:cNvSpPr>
      </xdr:nvSpPr>
      <xdr:spPr bwMode="auto">
        <a:xfrm>
          <a:off x="3954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25</xdr:row>
      <xdr:rowOff>59055</xdr:rowOff>
    </xdr:from>
    <xdr:to>
      <xdr:col>71</xdr:col>
      <xdr:colOff>0</xdr:colOff>
      <xdr:row>26</xdr:row>
      <xdr:rowOff>68580</xdr:rowOff>
    </xdr:to>
    <xdr:sp macro="" textlink="">
      <xdr:nvSpPr>
        <xdr:cNvPr id="280" name="Text Box 482">
          <a:extLst>
            <a:ext uri="{FF2B5EF4-FFF2-40B4-BE49-F238E27FC236}">
              <a16:creationId xmlns:a16="http://schemas.microsoft.com/office/drawing/2014/main" id="{5DA541EE-0D78-EA13-7089-6272D483E0DC}"/>
            </a:ext>
          </a:extLst>
        </xdr:cNvPr>
        <xdr:cNvSpPr txBox="1">
          <a:spLocks noChangeArrowheads="1"/>
        </xdr:cNvSpPr>
      </xdr:nvSpPr>
      <xdr:spPr bwMode="auto">
        <a:xfrm>
          <a:off x="64684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59055</xdr:rowOff>
    </xdr:from>
    <xdr:to>
      <xdr:col>71</xdr:col>
      <xdr:colOff>0</xdr:colOff>
      <xdr:row>27</xdr:row>
      <xdr:rowOff>59055</xdr:rowOff>
    </xdr:to>
    <xdr:sp macro="" textlink="">
      <xdr:nvSpPr>
        <xdr:cNvPr id="281" name="Text Box 483">
          <a:extLst>
            <a:ext uri="{FF2B5EF4-FFF2-40B4-BE49-F238E27FC236}">
              <a16:creationId xmlns:a16="http://schemas.microsoft.com/office/drawing/2014/main" id="{567B5AD1-E534-BB85-7835-A798540B1A24}"/>
            </a:ext>
          </a:extLst>
        </xdr:cNvPr>
        <xdr:cNvSpPr txBox="1">
          <a:spLocks noChangeArrowheads="1"/>
        </xdr:cNvSpPr>
      </xdr:nvSpPr>
      <xdr:spPr bwMode="auto">
        <a:xfrm>
          <a:off x="64684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28</xdr:row>
      <xdr:rowOff>53340</xdr:rowOff>
    </xdr:from>
    <xdr:to>
      <xdr:col>71</xdr:col>
      <xdr:colOff>0</xdr:colOff>
      <xdr:row>29</xdr:row>
      <xdr:rowOff>68580</xdr:rowOff>
    </xdr:to>
    <xdr:sp macro="" textlink="">
      <xdr:nvSpPr>
        <xdr:cNvPr id="1646" name="Text Box 484">
          <a:extLst>
            <a:ext uri="{FF2B5EF4-FFF2-40B4-BE49-F238E27FC236}">
              <a16:creationId xmlns:a16="http://schemas.microsoft.com/office/drawing/2014/main" id="{9ADF6FC2-8AB9-1FF0-8F54-95815893D5AA}"/>
            </a:ext>
          </a:extLst>
        </xdr:cNvPr>
        <xdr:cNvSpPr txBox="1">
          <a:spLocks noChangeArrowheads="1"/>
        </xdr:cNvSpPr>
      </xdr:nvSpPr>
      <xdr:spPr bwMode="auto">
        <a:xfrm>
          <a:off x="4657344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28</xdr:row>
      <xdr:rowOff>53340</xdr:rowOff>
    </xdr:from>
    <xdr:to>
      <xdr:col>71</xdr:col>
      <xdr:colOff>0</xdr:colOff>
      <xdr:row>29</xdr:row>
      <xdr:rowOff>68580</xdr:rowOff>
    </xdr:to>
    <xdr:sp macro="" textlink="">
      <xdr:nvSpPr>
        <xdr:cNvPr id="1647" name="Text Box 485">
          <a:extLst>
            <a:ext uri="{FF2B5EF4-FFF2-40B4-BE49-F238E27FC236}">
              <a16:creationId xmlns:a16="http://schemas.microsoft.com/office/drawing/2014/main" id="{C6343DB9-39C1-FA1C-7B2F-6EFBABB894EE}"/>
            </a:ext>
          </a:extLst>
        </xdr:cNvPr>
        <xdr:cNvSpPr txBox="1">
          <a:spLocks noChangeArrowheads="1"/>
        </xdr:cNvSpPr>
      </xdr:nvSpPr>
      <xdr:spPr bwMode="auto">
        <a:xfrm>
          <a:off x="4657344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25</xdr:row>
      <xdr:rowOff>59055</xdr:rowOff>
    </xdr:from>
    <xdr:to>
      <xdr:col>80</xdr:col>
      <xdr:colOff>0</xdr:colOff>
      <xdr:row>26</xdr:row>
      <xdr:rowOff>68580</xdr:rowOff>
    </xdr:to>
    <xdr:sp macro="" textlink="">
      <xdr:nvSpPr>
        <xdr:cNvPr id="284" name="Text Box 486">
          <a:extLst>
            <a:ext uri="{FF2B5EF4-FFF2-40B4-BE49-F238E27FC236}">
              <a16:creationId xmlns:a16="http://schemas.microsoft.com/office/drawing/2014/main" id="{74EA0B7C-7434-2572-5A45-FC99E7F7AE87}"/>
            </a:ext>
          </a:extLst>
        </xdr:cNvPr>
        <xdr:cNvSpPr txBox="1">
          <a:spLocks noChangeArrowheads="1"/>
        </xdr:cNvSpPr>
      </xdr:nvSpPr>
      <xdr:spPr bwMode="auto">
        <a:xfrm>
          <a:off x="7349490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59055</xdr:rowOff>
    </xdr:from>
    <xdr:to>
      <xdr:col>80</xdr:col>
      <xdr:colOff>0</xdr:colOff>
      <xdr:row>27</xdr:row>
      <xdr:rowOff>59055</xdr:rowOff>
    </xdr:to>
    <xdr:sp macro="" textlink="">
      <xdr:nvSpPr>
        <xdr:cNvPr id="285" name="Text Box 487">
          <a:extLst>
            <a:ext uri="{FF2B5EF4-FFF2-40B4-BE49-F238E27FC236}">
              <a16:creationId xmlns:a16="http://schemas.microsoft.com/office/drawing/2014/main" id="{41CA852A-4A77-94FA-8111-70656ABD9F6D}"/>
            </a:ext>
          </a:extLst>
        </xdr:cNvPr>
        <xdr:cNvSpPr txBox="1">
          <a:spLocks noChangeArrowheads="1"/>
        </xdr:cNvSpPr>
      </xdr:nvSpPr>
      <xdr:spPr bwMode="auto">
        <a:xfrm>
          <a:off x="7349490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68580</xdr:rowOff>
    </xdr:to>
    <xdr:sp macro="" textlink="">
      <xdr:nvSpPr>
        <xdr:cNvPr id="1650" name="Text Box 488">
          <a:extLst>
            <a:ext uri="{FF2B5EF4-FFF2-40B4-BE49-F238E27FC236}">
              <a16:creationId xmlns:a16="http://schemas.microsoft.com/office/drawing/2014/main" id="{7F42A52E-FE94-ABD8-F6E4-D15501BFEF6C}"/>
            </a:ext>
          </a:extLst>
        </xdr:cNvPr>
        <xdr:cNvSpPr txBox="1">
          <a:spLocks noChangeArrowheads="1"/>
        </xdr:cNvSpPr>
      </xdr:nvSpPr>
      <xdr:spPr bwMode="auto">
        <a:xfrm>
          <a:off x="536829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68580</xdr:rowOff>
    </xdr:to>
    <xdr:sp macro="" textlink="">
      <xdr:nvSpPr>
        <xdr:cNvPr id="1651" name="Text Box 489">
          <a:extLst>
            <a:ext uri="{FF2B5EF4-FFF2-40B4-BE49-F238E27FC236}">
              <a16:creationId xmlns:a16="http://schemas.microsoft.com/office/drawing/2014/main" id="{1008EA54-B2FE-C011-3954-23B0E87487BC}"/>
            </a:ext>
          </a:extLst>
        </xdr:cNvPr>
        <xdr:cNvSpPr txBox="1">
          <a:spLocks noChangeArrowheads="1"/>
        </xdr:cNvSpPr>
      </xdr:nvSpPr>
      <xdr:spPr bwMode="auto">
        <a:xfrm>
          <a:off x="536829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88</xdr:row>
      <xdr:rowOff>0</xdr:rowOff>
    </xdr:from>
    <xdr:to>
      <xdr:col>8</xdr:col>
      <xdr:colOff>0</xdr:colOff>
      <xdr:row>88</xdr:row>
      <xdr:rowOff>0</xdr:rowOff>
    </xdr:to>
    <xdr:sp macro="" textlink="">
      <xdr:nvSpPr>
        <xdr:cNvPr id="292" name="Text Box 506">
          <a:extLst>
            <a:ext uri="{FF2B5EF4-FFF2-40B4-BE49-F238E27FC236}">
              <a16:creationId xmlns:a16="http://schemas.microsoft.com/office/drawing/2014/main" id="{7C5D90BB-387E-526C-79E8-C3192E0EFF91}"/>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293" name="Text Box 507">
          <a:extLst>
            <a:ext uri="{FF2B5EF4-FFF2-40B4-BE49-F238E27FC236}">
              <a16:creationId xmlns:a16="http://schemas.microsoft.com/office/drawing/2014/main" id="{2F6D4638-84BD-D5B0-3ACA-EEEAE143F34C}"/>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294" name="Text Box 508">
          <a:extLst>
            <a:ext uri="{FF2B5EF4-FFF2-40B4-BE49-F238E27FC236}">
              <a16:creationId xmlns:a16="http://schemas.microsoft.com/office/drawing/2014/main" id="{42BD945C-F61F-F135-88AC-A25654735ED6}"/>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295" name="Text Box 509">
          <a:extLst>
            <a:ext uri="{FF2B5EF4-FFF2-40B4-BE49-F238E27FC236}">
              <a16:creationId xmlns:a16="http://schemas.microsoft.com/office/drawing/2014/main" id="{6340BBAF-B808-BC44-1C78-434F10922B31}"/>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298" name="Text Box 512">
          <a:extLst>
            <a:ext uri="{FF2B5EF4-FFF2-40B4-BE49-F238E27FC236}">
              <a16:creationId xmlns:a16="http://schemas.microsoft.com/office/drawing/2014/main" id="{3A60FC22-A846-F1C9-A631-A8EC6EEE5D13}"/>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299" name="Text Box 513">
          <a:extLst>
            <a:ext uri="{FF2B5EF4-FFF2-40B4-BE49-F238E27FC236}">
              <a16:creationId xmlns:a16="http://schemas.microsoft.com/office/drawing/2014/main" id="{E854BDEF-4D2F-D8D4-024B-4706D6CC229A}"/>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00" name="Text Box 514">
          <a:extLst>
            <a:ext uri="{FF2B5EF4-FFF2-40B4-BE49-F238E27FC236}">
              <a16:creationId xmlns:a16="http://schemas.microsoft.com/office/drawing/2014/main" id="{40AA9724-2492-571E-0846-2C3DE870904C}"/>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xdr:col>
      <xdr:colOff>0</xdr:colOff>
      <xdr:row>43</xdr:row>
      <xdr:rowOff>59055</xdr:rowOff>
    </xdr:from>
    <xdr:to>
      <xdr:col>8</xdr:col>
      <xdr:colOff>0</xdr:colOff>
      <xdr:row>44</xdr:row>
      <xdr:rowOff>59055</xdr:rowOff>
    </xdr:to>
    <xdr:sp macro="" textlink="">
      <xdr:nvSpPr>
        <xdr:cNvPr id="302" name="Text Box 517">
          <a:extLst>
            <a:ext uri="{FF2B5EF4-FFF2-40B4-BE49-F238E27FC236}">
              <a16:creationId xmlns:a16="http://schemas.microsoft.com/office/drawing/2014/main" id="{519FED7E-07DE-86A6-59C3-3EC727AC2EE7}"/>
            </a:ext>
          </a:extLst>
        </xdr:cNvPr>
        <xdr:cNvSpPr txBox="1">
          <a:spLocks noChangeArrowheads="1"/>
        </xdr:cNvSpPr>
      </xdr:nvSpPr>
      <xdr:spPr bwMode="auto">
        <a:xfrm>
          <a:off x="615315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59055</xdr:rowOff>
    </xdr:from>
    <xdr:to>
      <xdr:col>17</xdr:col>
      <xdr:colOff>0</xdr:colOff>
      <xdr:row>44</xdr:row>
      <xdr:rowOff>59055</xdr:rowOff>
    </xdr:to>
    <xdr:sp macro="" textlink="">
      <xdr:nvSpPr>
        <xdr:cNvPr id="303" name="Text Box 518">
          <a:extLst>
            <a:ext uri="{FF2B5EF4-FFF2-40B4-BE49-F238E27FC236}">
              <a16:creationId xmlns:a16="http://schemas.microsoft.com/office/drawing/2014/main" id="{863C43D7-F2E7-9ED5-6C11-3EE24EC1E885}"/>
            </a:ext>
          </a:extLst>
        </xdr:cNvPr>
        <xdr:cNvSpPr txBox="1">
          <a:spLocks noChangeArrowheads="1"/>
        </xdr:cNvSpPr>
      </xdr:nvSpPr>
      <xdr:spPr bwMode="auto">
        <a:xfrm>
          <a:off x="142398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59055</xdr:rowOff>
    </xdr:from>
    <xdr:to>
      <xdr:col>25</xdr:col>
      <xdr:colOff>0</xdr:colOff>
      <xdr:row>44</xdr:row>
      <xdr:rowOff>59055</xdr:rowOff>
    </xdr:to>
    <xdr:sp macro="" textlink="">
      <xdr:nvSpPr>
        <xdr:cNvPr id="304" name="Text Box 519">
          <a:extLst>
            <a:ext uri="{FF2B5EF4-FFF2-40B4-BE49-F238E27FC236}">
              <a16:creationId xmlns:a16="http://schemas.microsoft.com/office/drawing/2014/main" id="{4F63D5D3-F164-DB89-A862-963A4129DB48}"/>
            </a:ext>
          </a:extLst>
        </xdr:cNvPr>
        <xdr:cNvSpPr txBox="1">
          <a:spLocks noChangeArrowheads="1"/>
        </xdr:cNvSpPr>
      </xdr:nvSpPr>
      <xdr:spPr bwMode="auto">
        <a:xfrm>
          <a:off x="21631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59055</xdr:rowOff>
    </xdr:from>
    <xdr:to>
      <xdr:col>33</xdr:col>
      <xdr:colOff>0</xdr:colOff>
      <xdr:row>44</xdr:row>
      <xdr:rowOff>59055</xdr:rowOff>
    </xdr:to>
    <xdr:sp macro="" textlink="">
      <xdr:nvSpPr>
        <xdr:cNvPr id="305" name="Text Box 520">
          <a:extLst>
            <a:ext uri="{FF2B5EF4-FFF2-40B4-BE49-F238E27FC236}">
              <a16:creationId xmlns:a16="http://schemas.microsoft.com/office/drawing/2014/main" id="{6B11868D-A06A-1D30-1D72-3B4A0EA65B59}"/>
            </a:ext>
          </a:extLst>
        </xdr:cNvPr>
        <xdr:cNvSpPr txBox="1">
          <a:spLocks noChangeArrowheads="1"/>
        </xdr:cNvSpPr>
      </xdr:nvSpPr>
      <xdr:spPr bwMode="auto">
        <a:xfrm>
          <a:off x="2904172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59055</xdr:rowOff>
    </xdr:from>
    <xdr:to>
      <xdr:col>61</xdr:col>
      <xdr:colOff>0</xdr:colOff>
      <xdr:row>44</xdr:row>
      <xdr:rowOff>59055</xdr:rowOff>
    </xdr:to>
    <xdr:sp macro="" textlink="">
      <xdr:nvSpPr>
        <xdr:cNvPr id="308" name="Text Box 523">
          <a:extLst>
            <a:ext uri="{FF2B5EF4-FFF2-40B4-BE49-F238E27FC236}">
              <a16:creationId xmlns:a16="http://schemas.microsoft.com/office/drawing/2014/main" id="{8959FBD1-6A0C-7DB0-6715-1D6F73C52347}"/>
            </a:ext>
          </a:extLst>
        </xdr:cNvPr>
        <xdr:cNvSpPr txBox="1">
          <a:spLocks noChangeArrowheads="1"/>
        </xdr:cNvSpPr>
      </xdr:nvSpPr>
      <xdr:spPr bwMode="auto">
        <a:xfrm>
          <a:off x="553116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59055</xdr:rowOff>
    </xdr:from>
    <xdr:to>
      <xdr:col>71</xdr:col>
      <xdr:colOff>0</xdr:colOff>
      <xdr:row>44</xdr:row>
      <xdr:rowOff>59055</xdr:rowOff>
    </xdr:to>
    <xdr:sp macro="" textlink="">
      <xdr:nvSpPr>
        <xdr:cNvPr id="309" name="Text Box 524">
          <a:extLst>
            <a:ext uri="{FF2B5EF4-FFF2-40B4-BE49-F238E27FC236}">
              <a16:creationId xmlns:a16="http://schemas.microsoft.com/office/drawing/2014/main" id="{3AF9B96E-C02C-EA4B-ECE0-84BDD4138F56}"/>
            </a:ext>
          </a:extLst>
        </xdr:cNvPr>
        <xdr:cNvSpPr txBox="1">
          <a:spLocks noChangeArrowheads="1"/>
        </xdr:cNvSpPr>
      </xdr:nvSpPr>
      <xdr:spPr bwMode="auto">
        <a:xfrm>
          <a:off x="64684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59055</xdr:rowOff>
    </xdr:from>
    <xdr:to>
      <xdr:col>80</xdr:col>
      <xdr:colOff>0</xdr:colOff>
      <xdr:row>44</xdr:row>
      <xdr:rowOff>59055</xdr:rowOff>
    </xdr:to>
    <xdr:sp macro="" textlink="">
      <xdr:nvSpPr>
        <xdr:cNvPr id="310" name="Text Box 525">
          <a:extLst>
            <a:ext uri="{FF2B5EF4-FFF2-40B4-BE49-F238E27FC236}">
              <a16:creationId xmlns:a16="http://schemas.microsoft.com/office/drawing/2014/main" id="{57584AB7-D2DE-5C61-8C8B-3E99893D3706}"/>
            </a:ext>
          </a:extLst>
        </xdr:cNvPr>
        <xdr:cNvSpPr txBox="1">
          <a:spLocks noChangeArrowheads="1"/>
        </xdr:cNvSpPr>
      </xdr:nvSpPr>
      <xdr:spPr bwMode="auto">
        <a:xfrm>
          <a:off x="7349490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312" name="Text Box 527">
          <a:extLst>
            <a:ext uri="{FF2B5EF4-FFF2-40B4-BE49-F238E27FC236}">
              <a16:creationId xmlns:a16="http://schemas.microsoft.com/office/drawing/2014/main" id="{BE495DAC-6675-C17D-BB37-87F93DB4A110}"/>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313" name="Text Box 528">
          <a:extLst>
            <a:ext uri="{FF2B5EF4-FFF2-40B4-BE49-F238E27FC236}">
              <a16:creationId xmlns:a16="http://schemas.microsoft.com/office/drawing/2014/main" id="{F83ABFA7-8A2D-413C-9B75-6A6A6E3697D2}"/>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314" name="Text Box 529">
          <a:extLst>
            <a:ext uri="{FF2B5EF4-FFF2-40B4-BE49-F238E27FC236}">
              <a16:creationId xmlns:a16="http://schemas.microsoft.com/office/drawing/2014/main" id="{FABAC707-4B25-5475-3580-3260B784B622}"/>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315" name="Text Box 530">
          <a:extLst>
            <a:ext uri="{FF2B5EF4-FFF2-40B4-BE49-F238E27FC236}">
              <a16:creationId xmlns:a16="http://schemas.microsoft.com/office/drawing/2014/main" id="{608C3206-AB69-CD15-C3FB-C66B6CD0468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18" name="Text Box 533">
          <a:extLst>
            <a:ext uri="{FF2B5EF4-FFF2-40B4-BE49-F238E27FC236}">
              <a16:creationId xmlns:a16="http://schemas.microsoft.com/office/drawing/2014/main" id="{A3351772-2546-DE95-50D2-5847BD25A0AB}"/>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19" name="Text Box 534">
          <a:extLst>
            <a:ext uri="{FF2B5EF4-FFF2-40B4-BE49-F238E27FC236}">
              <a16:creationId xmlns:a16="http://schemas.microsoft.com/office/drawing/2014/main" id="{CC389CDE-1ECB-358B-2AC9-D6198577E88E}"/>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320" name="Text Box 535">
          <a:extLst>
            <a:ext uri="{FF2B5EF4-FFF2-40B4-BE49-F238E27FC236}">
              <a16:creationId xmlns:a16="http://schemas.microsoft.com/office/drawing/2014/main" id="{3C4E2EA7-6F59-D0C9-B7C7-4B9470748BC2}"/>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673" name="Text Box 545">
          <a:extLst>
            <a:ext uri="{FF2B5EF4-FFF2-40B4-BE49-F238E27FC236}">
              <a16:creationId xmlns:a16="http://schemas.microsoft.com/office/drawing/2014/main" id="{C2ACEC10-C525-B729-3D05-2ED007261DDB}"/>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674" name="Text Box 546">
          <a:extLst>
            <a:ext uri="{FF2B5EF4-FFF2-40B4-BE49-F238E27FC236}">
              <a16:creationId xmlns:a16="http://schemas.microsoft.com/office/drawing/2014/main" id="{FFE37D0F-6282-90EE-FD3E-AD2BDFB86E75}"/>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82</xdr:row>
      <xdr:rowOff>0</xdr:rowOff>
    </xdr:from>
    <xdr:to>
      <xdr:col>0</xdr:col>
      <xdr:colOff>695101</xdr:colOff>
      <xdr:row>82</xdr:row>
      <xdr:rowOff>0</xdr:rowOff>
    </xdr:to>
    <xdr:sp macro="" textlink="">
      <xdr:nvSpPr>
        <xdr:cNvPr id="324" name="Text Box 547">
          <a:extLst>
            <a:ext uri="{FF2B5EF4-FFF2-40B4-BE49-F238E27FC236}">
              <a16:creationId xmlns:a16="http://schemas.microsoft.com/office/drawing/2014/main" id="{6A3E22FB-DBC6-01EA-3F6C-BB01298CA586}"/>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676" name="Text Box 548">
          <a:extLst>
            <a:ext uri="{FF2B5EF4-FFF2-40B4-BE49-F238E27FC236}">
              <a16:creationId xmlns:a16="http://schemas.microsoft.com/office/drawing/2014/main" id="{D6E93DDF-C4AE-70BD-80B1-D5F841EDC810}"/>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677" name="Text Box 549">
          <a:extLst>
            <a:ext uri="{FF2B5EF4-FFF2-40B4-BE49-F238E27FC236}">
              <a16:creationId xmlns:a16="http://schemas.microsoft.com/office/drawing/2014/main" id="{EDB464F4-0A13-D770-DA2D-1C568A566722}"/>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83</xdr:row>
      <xdr:rowOff>0</xdr:rowOff>
    </xdr:from>
    <xdr:to>
      <xdr:col>0</xdr:col>
      <xdr:colOff>714798</xdr:colOff>
      <xdr:row>83</xdr:row>
      <xdr:rowOff>0</xdr:rowOff>
    </xdr:to>
    <xdr:sp macro="" textlink="">
      <xdr:nvSpPr>
        <xdr:cNvPr id="327" name="Text Box 550">
          <a:extLst>
            <a:ext uri="{FF2B5EF4-FFF2-40B4-BE49-F238E27FC236}">
              <a16:creationId xmlns:a16="http://schemas.microsoft.com/office/drawing/2014/main" id="{2BF00198-1C10-304D-6F84-930F307F2638}"/>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643890</xdr:colOff>
      <xdr:row>86</xdr:row>
      <xdr:rowOff>49530</xdr:rowOff>
    </xdr:from>
    <xdr:to>
      <xdr:col>9</xdr:col>
      <xdr:colOff>1905</xdr:colOff>
      <xdr:row>87</xdr:row>
      <xdr:rowOff>423</xdr:rowOff>
    </xdr:to>
    <xdr:sp macro="" textlink="">
      <xdr:nvSpPr>
        <xdr:cNvPr id="328" name="Text Box 652">
          <a:extLst>
            <a:ext uri="{FF2B5EF4-FFF2-40B4-BE49-F238E27FC236}">
              <a16:creationId xmlns:a16="http://schemas.microsoft.com/office/drawing/2014/main" id="{D894D7EA-E2FE-58DE-09F1-C8923E8BDE8D}"/>
            </a:ext>
          </a:extLst>
        </xdr:cNvPr>
        <xdr:cNvSpPr txBox="1">
          <a:spLocks noChangeArrowheads="1"/>
        </xdr:cNvSpPr>
      </xdr:nvSpPr>
      <xdr:spPr bwMode="auto">
        <a:xfrm>
          <a:off x="6810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86</xdr:row>
      <xdr:rowOff>49530</xdr:rowOff>
    </xdr:from>
    <xdr:to>
      <xdr:col>19</xdr:col>
      <xdr:colOff>1905</xdr:colOff>
      <xdr:row>87</xdr:row>
      <xdr:rowOff>423</xdr:rowOff>
    </xdr:to>
    <xdr:sp macro="" textlink="">
      <xdr:nvSpPr>
        <xdr:cNvPr id="329" name="Text Box 653">
          <a:extLst>
            <a:ext uri="{FF2B5EF4-FFF2-40B4-BE49-F238E27FC236}">
              <a16:creationId xmlns:a16="http://schemas.microsoft.com/office/drawing/2014/main" id="{8A83B47A-14E4-4DF6-510D-AB7C2B8754D2}"/>
            </a:ext>
          </a:extLst>
        </xdr:cNvPr>
        <xdr:cNvSpPr txBox="1">
          <a:spLocks noChangeArrowheads="1"/>
        </xdr:cNvSpPr>
      </xdr:nvSpPr>
      <xdr:spPr bwMode="auto">
        <a:xfrm>
          <a:off x="173259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86</xdr:row>
      <xdr:rowOff>49530</xdr:rowOff>
    </xdr:from>
    <xdr:to>
      <xdr:col>29</xdr:col>
      <xdr:colOff>1905</xdr:colOff>
      <xdr:row>87</xdr:row>
      <xdr:rowOff>423</xdr:rowOff>
    </xdr:to>
    <xdr:sp macro="" textlink="">
      <xdr:nvSpPr>
        <xdr:cNvPr id="330" name="Text Box 654">
          <a:extLst>
            <a:ext uri="{FF2B5EF4-FFF2-40B4-BE49-F238E27FC236}">
              <a16:creationId xmlns:a16="http://schemas.microsoft.com/office/drawing/2014/main" id="{02B31CF9-9CF3-B366-B21F-CB803A8AAE0F}"/>
            </a:ext>
          </a:extLst>
        </xdr:cNvPr>
        <xdr:cNvSpPr txBox="1">
          <a:spLocks noChangeArrowheads="1"/>
        </xdr:cNvSpPr>
      </xdr:nvSpPr>
      <xdr:spPr bwMode="auto">
        <a:xfrm>
          <a:off x="26241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86</xdr:row>
      <xdr:rowOff>49530</xdr:rowOff>
    </xdr:from>
    <xdr:to>
      <xdr:col>39</xdr:col>
      <xdr:colOff>1905</xdr:colOff>
      <xdr:row>87</xdr:row>
      <xdr:rowOff>423</xdr:rowOff>
    </xdr:to>
    <xdr:sp macro="" textlink="">
      <xdr:nvSpPr>
        <xdr:cNvPr id="331" name="Text Box 655">
          <a:extLst>
            <a:ext uri="{FF2B5EF4-FFF2-40B4-BE49-F238E27FC236}">
              <a16:creationId xmlns:a16="http://schemas.microsoft.com/office/drawing/2014/main" id="{AD5495E2-E2B7-67FC-58FD-BD8E0F863163}"/>
            </a:ext>
          </a:extLst>
        </xdr:cNvPr>
        <xdr:cNvSpPr txBox="1">
          <a:spLocks noChangeArrowheads="1"/>
        </xdr:cNvSpPr>
      </xdr:nvSpPr>
      <xdr:spPr bwMode="auto">
        <a:xfrm>
          <a:off x="34766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86</xdr:row>
      <xdr:rowOff>49530</xdr:rowOff>
    </xdr:from>
    <xdr:to>
      <xdr:col>49</xdr:col>
      <xdr:colOff>1905</xdr:colOff>
      <xdr:row>87</xdr:row>
      <xdr:rowOff>423</xdr:rowOff>
    </xdr:to>
    <xdr:sp macro="" textlink="">
      <xdr:nvSpPr>
        <xdr:cNvPr id="332" name="Text Box 656">
          <a:extLst>
            <a:ext uri="{FF2B5EF4-FFF2-40B4-BE49-F238E27FC236}">
              <a16:creationId xmlns:a16="http://schemas.microsoft.com/office/drawing/2014/main" id="{F35CD5A1-9760-F2F7-B593-FB66BD95FD95}"/>
            </a:ext>
          </a:extLst>
        </xdr:cNvPr>
        <xdr:cNvSpPr txBox="1">
          <a:spLocks noChangeArrowheads="1"/>
        </xdr:cNvSpPr>
      </xdr:nvSpPr>
      <xdr:spPr bwMode="auto">
        <a:xfrm>
          <a:off x="4271010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86</xdr:row>
      <xdr:rowOff>49530</xdr:rowOff>
    </xdr:from>
    <xdr:to>
      <xdr:col>71</xdr:col>
      <xdr:colOff>1905</xdr:colOff>
      <xdr:row>87</xdr:row>
      <xdr:rowOff>423</xdr:rowOff>
    </xdr:to>
    <xdr:sp macro="" textlink="">
      <xdr:nvSpPr>
        <xdr:cNvPr id="334" name="Text Box 658">
          <a:extLst>
            <a:ext uri="{FF2B5EF4-FFF2-40B4-BE49-F238E27FC236}">
              <a16:creationId xmlns:a16="http://schemas.microsoft.com/office/drawing/2014/main" id="{E4A4A1EA-7733-9C73-9008-C4E79354039C}"/>
            </a:ext>
          </a:extLst>
        </xdr:cNvPr>
        <xdr:cNvSpPr txBox="1">
          <a:spLocks noChangeArrowheads="1"/>
        </xdr:cNvSpPr>
      </xdr:nvSpPr>
      <xdr:spPr bwMode="auto">
        <a:xfrm>
          <a:off x="646842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35" name="Text Box 659">
          <a:extLst>
            <a:ext uri="{FF2B5EF4-FFF2-40B4-BE49-F238E27FC236}">
              <a16:creationId xmlns:a16="http://schemas.microsoft.com/office/drawing/2014/main" id="{C607CB6B-DEC7-18CC-4533-A82B518A63CE}"/>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36" name="Text Box 660">
          <a:extLst>
            <a:ext uri="{FF2B5EF4-FFF2-40B4-BE49-F238E27FC236}">
              <a16:creationId xmlns:a16="http://schemas.microsoft.com/office/drawing/2014/main" id="{8EA4C317-A49B-6CCF-78E6-B788CBD619C2}"/>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37" name="Text Box 661">
          <a:extLst>
            <a:ext uri="{FF2B5EF4-FFF2-40B4-BE49-F238E27FC236}">
              <a16:creationId xmlns:a16="http://schemas.microsoft.com/office/drawing/2014/main" id="{3FD18923-7829-EA2D-0950-EFB8E31A659D}"/>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38" name="Text Box 662">
          <a:extLst>
            <a:ext uri="{FF2B5EF4-FFF2-40B4-BE49-F238E27FC236}">
              <a16:creationId xmlns:a16="http://schemas.microsoft.com/office/drawing/2014/main" id="{2B955FFB-C460-7560-65BD-B042931597F8}"/>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87</xdr:row>
      <xdr:rowOff>0</xdr:rowOff>
    </xdr:from>
    <xdr:to>
      <xdr:col>73</xdr:col>
      <xdr:colOff>0</xdr:colOff>
      <xdr:row>87</xdr:row>
      <xdr:rowOff>0</xdr:rowOff>
    </xdr:to>
    <xdr:sp macro="" textlink="">
      <xdr:nvSpPr>
        <xdr:cNvPr id="341" name="Text Box 665">
          <a:extLst>
            <a:ext uri="{FF2B5EF4-FFF2-40B4-BE49-F238E27FC236}">
              <a16:creationId xmlns:a16="http://schemas.microsoft.com/office/drawing/2014/main" id="{00985330-0B2F-003B-BA4A-66A37893F8AC}"/>
            </a:ext>
          </a:extLst>
        </xdr:cNvPr>
        <xdr:cNvSpPr txBox="1">
          <a:spLocks noChangeArrowheads="1"/>
        </xdr:cNvSpPr>
      </xdr:nvSpPr>
      <xdr:spPr bwMode="auto">
        <a:xfrm>
          <a:off x="6587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87</xdr:row>
      <xdr:rowOff>0</xdr:rowOff>
    </xdr:from>
    <xdr:to>
      <xdr:col>62</xdr:col>
      <xdr:colOff>0</xdr:colOff>
      <xdr:row>87</xdr:row>
      <xdr:rowOff>0</xdr:rowOff>
    </xdr:to>
    <xdr:sp macro="" textlink="">
      <xdr:nvSpPr>
        <xdr:cNvPr id="344" name="Text Box 668">
          <a:extLst>
            <a:ext uri="{FF2B5EF4-FFF2-40B4-BE49-F238E27FC236}">
              <a16:creationId xmlns:a16="http://schemas.microsoft.com/office/drawing/2014/main" id="{E2C61A41-F7AD-6264-C276-397E35D6F52B}"/>
            </a:ext>
          </a:extLst>
        </xdr:cNvPr>
        <xdr:cNvSpPr txBox="1">
          <a:spLocks noChangeArrowheads="1"/>
        </xdr:cNvSpPr>
      </xdr:nvSpPr>
      <xdr:spPr bwMode="auto">
        <a:xfrm>
          <a:off x="560451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45" name="Text Box 669">
          <a:extLst>
            <a:ext uri="{FF2B5EF4-FFF2-40B4-BE49-F238E27FC236}">
              <a16:creationId xmlns:a16="http://schemas.microsoft.com/office/drawing/2014/main" id="{3AA9279D-4227-513F-F305-A7707E8DAB7C}"/>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46" name="Text Box 670">
          <a:extLst>
            <a:ext uri="{FF2B5EF4-FFF2-40B4-BE49-F238E27FC236}">
              <a16:creationId xmlns:a16="http://schemas.microsoft.com/office/drawing/2014/main" id="{58F51884-C042-7853-D30A-27D91ED60477}"/>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47" name="Text Box 671">
          <a:extLst>
            <a:ext uri="{FF2B5EF4-FFF2-40B4-BE49-F238E27FC236}">
              <a16:creationId xmlns:a16="http://schemas.microsoft.com/office/drawing/2014/main" id="{A81C80E8-6685-AC2C-7ECB-E0E42159A0AF}"/>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48" name="Text Box 672">
          <a:extLst>
            <a:ext uri="{FF2B5EF4-FFF2-40B4-BE49-F238E27FC236}">
              <a16:creationId xmlns:a16="http://schemas.microsoft.com/office/drawing/2014/main" id="{750E05BA-12BB-2F9F-ABC9-1A893E4B9380}"/>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49" name="Text Box 673">
          <a:extLst>
            <a:ext uri="{FF2B5EF4-FFF2-40B4-BE49-F238E27FC236}">
              <a16:creationId xmlns:a16="http://schemas.microsoft.com/office/drawing/2014/main" id="{58C66F1A-F7D8-83E6-360E-D60490C85507}"/>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0" name="Text Box 674">
          <a:extLst>
            <a:ext uri="{FF2B5EF4-FFF2-40B4-BE49-F238E27FC236}">
              <a16:creationId xmlns:a16="http://schemas.microsoft.com/office/drawing/2014/main" id="{ADCD6779-33EF-7BA5-24C0-724E10249D76}"/>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1" name="Text Box 675">
          <a:extLst>
            <a:ext uri="{FF2B5EF4-FFF2-40B4-BE49-F238E27FC236}">
              <a16:creationId xmlns:a16="http://schemas.microsoft.com/office/drawing/2014/main" id="{0C28BAA6-F61F-1124-D441-D48608BBEA86}"/>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2" name="Text Box 676">
          <a:extLst>
            <a:ext uri="{FF2B5EF4-FFF2-40B4-BE49-F238E27FC236}">
              <a16:creationId xmlns:a16="http://schemas.microsoft.com/office/drawing/2014/main" id="{33B60F8D-6125-501A-47B3-0DE90192E5AB}"/>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3" name="Text Box 677">
          <a:extLst>
            <a:ext uri="{FF2B5EF4-FFF2-40B4-BE49-F238E27FC236}">
              <a16:creationId xmlns:a16="http://schemas.microsoft.com/office/drawing/2014/main" id="{A76A3087-4035-D877-421A-344C718F7998}"/>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54" name="Text Box 678">
          <a:extLst>
            <a:ext uri="{FF2B5EF4-FFF2-40B4-BE49-F238E27FC236}">
              <a16:creationId xmlns:a16="http://schemas.microsoft.com/office/drawing/2014/main" id="{77639106-B15F-CFCF-BE40-D7BD175BEB93}"/>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55" name="Text Box 679">
          <a:extLst>
            <a:ext uri="{FF2B5EF4-FFF2-40B4-BE49-F238E27FC236}">
              <a16:creationId xmlns:a16="http://schemas.microsoft.com/office/drawing/2014/main" id="{C3222AC3-54DD-3704-7EC7-3C54EE054456}"/>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6" name="Text Box 680">
          <a:extLst>
            <a:ext uri="{FF2B5EF4-FFF2-40B4-BE49-F238E27FC236}">
              <a16:creationId xmlns:a16="http://schemas.microsoft.com/office/drawing/2014/main" id="{43C83D87-AAC3-B924-245A-FABAE935CA87}"/>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7" name="Text Box 681">
          <a:extLst>
            <a:ext uri="{FF2B5EF4-FFF2-40B4-BE49-F238E27FC236}">
              <a16:creationId xmlns:a16="http://schemas.microsoft.com/office/drawing/2014/main" id="{4A9A9132-CB08-E568-BA84-388F48CFB5AB}"/>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60" name="Text Box 684">
          <a:extLst>
            <a:ext uri="{FF2B5EF4-FFF2-40B4-BE49-F238E27FC236}">
              <a16:creationId xmlns:a16="http://schemas.microsoft.com/office/drawing/2014/main" id="{E4630346-4826-1C17-9019-B95EB7150FEC}"/>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61" name="Text Box 685">
          <a:extLst>
            <a:ext uri="{FF2B5EF4-FFF2-40B4-BE49-F238E27FC236}">
              <a16:creationId xmlns:a16="http://schemas.microsoft.com/office/drawing/2014/main" id="{E4030EC2-3309-0924-8C78-522C946D0EAA}"/>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62" name="Text Box 686">
          <a:extLst>
            <a:ext uri="{FF2B5EF4-FFF2-40B4-BE49-F238E27FC236}">
              <a16:creationId xmlns:a16="http://schemas.microsoft.com/office/drawing/2014/main" id="{E1D0302C-11AA-A8B4-0D4F-CA66F8B597F6}"/>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64" name="Text Box 688">
          <a:extLst>
            <a:ext uri="{FF2B5EF4-FFF2-40B4-BE49-F238E27FC236}">
              <a16:creationId xmlns:a16="http://schemas.microsoft.com/office/drawing/2014/main" id="{05464DD4-DE06-09A4-A799-925874EABBB6}"/>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65" name="Text Box 689">
          <a:extLst>
            <a:ext uri="{FF2B5EF4-FFF2-40B4-BE49-F238E27FC236}">
              <a16:creationId xmlns:a16="http://schemas.microsoft.com/office/drawing/2014/main" id="{7826FEB9-35AE-B410-615D-42A1ED32F708}"/>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66" name="Text Box 690">
          <a:extLst>
            <a:ext uri="{FF2B5EF4-FFF2-40B4-BE49-F238E27FC236}">
              <a16:creationId xmlns:a16="http://schemas.microsoft.com/office/drawing/2014/main" id="{4401288D-5951-2D9E-9DD9-1EA6A1368E51}"/>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7" name="Text Box 691">
          <a:extLst>
            <a:ext uri="{FF2B5EF4-FFF2-40B4-BE49-F238E27FC236}">
              <a16:creationId xmlns:a16="http://schemas.microsoft.com/office/drawing/2014/main" id="{DE6D130B-D30C-996F-3036-D978676B5325}"/>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8" name="Text Box 692">
          <a:extLst>
            <a:ext uri="{FF2B5EF4-FFF2-40B4-BE49-F238E27FC236}">
              <a16:creationId xmlns:a16="http://schemas.microsoft.com/office/drawing/2014/main" id="{E2D06A05-59B5-AE94-ABA9-9B3FB074F437}"/>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9" name="Text Box 693">
          <a:extLst>
            <a:ext uri="{FF2B5EF4-FFF2-40B4-BE49-F238E27FC236}">
              <a16:creationId xmlns:a16="http://schemas.microsoft.com/office/drawing/2014/main" id="{E328945A-5E44-FA55-CF8C-F41957956428}"/>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0" name="Text Box 694">
          <a:extLst>
            <a:ext uri="{FF2B5EF4-FFF2-40B4-BE49-F238E27FC236}">
              <a16:creationId xmlns:a16="http://schemas.microsoft.com/office/drawing/2014/main" id="{E5A7DF93-5DEA-7AF4-F2CC-B5E055408972}"/>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1" name="Text Box 695">
          <a:extLst>
            <a:ext uri="{FF2B5EF4-FFF2-40B4-BE49-F238E27FC236}">
              <a16:creationId xmlns:a16="http://schemas.microsoft.com/office/drawing/2014/main" id="{9C4B59FF-39AB-1F76-34E9-5C797D57E0D7}"/>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2" name="Text Box 706">
          <a:extLst>
            <a:ext uri="{FF2B5EF4-FFF2-40B4-BE49-F238E27FC236}">
              <a16:creationId xmlns:a16="http://schemas.microsoft.com/office/drawing/2014/main" id="{06274040-BD52-EC73-5A99-C60790DC6A4B}"/>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3" name="Text Box 707">
          <a:extLst>
            <a:ext uri="{FF2B5EF4-FFF2-40B4-BE49-F238E27FC236}">
              <a16:creationId xmlns:a16="http://schemas.microsoft.com/office/drawing/2014/main" id="{60E6B2C5-7ADC-8694-CBD7-C1748D6B087D}"/>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4" name="Text Box 708">
          <a:extLst>
            <a:ext uri="{FF2B5EF4-FFF2-40B4-BE49-F238E27FC236}">
              <a16:creationId xmlns:a16="http://schemas.microsoft.com/office/drawing/2014/main" id="{4B4FC46D-622D-47FB-9F3D-449CD4CAC0DF}"/>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5" name="Text Box 709">
          <a:extLst>
            <a:ext uri="{FF2B5EF4-FFF2-40B4-BE49-F238E27FC236}">
              <a16:creationId xmlns:a16="http://schemas.microsoft.com/office/drawing/2014/main" id="{F30CF5B2-F956-CF10-64C2-0F5F077A9CF0}"/>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6" name="Text Box 710">
          <a:extLst>
            <a:ext uri="{FF2B5EF4-FFF2-40B4-BE49-F238E27FC236}">
              <a16:creationId xmlns:a16="http://schemas.microsoft.com/office/drawing/2014/main" id="{7C9754EA-E6EE-3B8B-2926-72CE6CB9A06C}"/>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7" name="Text Box 711">
          <a:extLst>
            <a:ext uri="{FF2B5EF4-FFF2-40B4-BE49-F238E27FC236}">
              <a16:creationId xmlns:a16="http://schemas.microsoft.com/office/drawing/2014/main" id="{31EC9BDD-0509-97BE-CCE2-941CDC1C051D}"/>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8" name="Text Box 712">
          <a:extLst>
            <a:ext uri="{FF2B5EF4-FFF2-40B4-BE49-F238E27FC236}">
              <a16:creationId xmlns:a16="http://schemas.microsoft.com/office/drawing/2014/main" id="{634E10B8-C9FE-E7C6-C2DE-76E89B3CB0BA}"/>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9" name="Text Box 713">
          <a:extLst>
            <a:ext uri="{FF2B5EF4-FFF2-40B4-BE49-F238E27FC236}">
              <a16:creationId xmlns:a16="http://schemas.microsoft.com/office/drawing/2014/main" id="{086D8006-4C60-F38C-CE73-745DCF0B7013}"/>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0" name="Text Box 714">
          <a:extLst>
            <a:ext uri="{FF2B5EF4-FFF2-40B4-BE49-F238E27FC236}">
              <a16:creationId xmlns:a16="http://schemas.microsoft.com/office/drawing/2014/main" id="{E887B8F4-EA7D-8DDD-FB7B-0F25DC563BC0}"/>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1" name="Text Box 715">
          <a:extLst>
            <a:ext uri="{FF2B5EF4-FFF2-40B4-BE49-F238E27FC236}">
              <a16:creationId xmlns:a16="http://schemas.microsoft.com/office/drawing/2014/main" id="{3B6093D1-7D0F-E24A-23EB-48C0D1EC267E}"/>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7" name="Text Box 721">
          <a:extLst>
            <a:ext uri="{FF2B5EF4-FFF2-40B4-BE49-F238E27FC236}">
              <a16:creationId xmlns:a16="http://schemas.microsoft.com/office/drawing/2014/main" id="{A91A5407-120F-27AF-3619-C53DF66DBD3A}"/>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8" name="Text Box 722">
          <a:extLst>
            <a:ext uri="{FF2B5EF4-FFF2-40B4-BE49-F238E27FC236}">
              <a16:creationId xmlns:a16="http://schemas.microsoft.com/office/drawing/2014/main" id="{CF5519A1-C8EA-5973-BBAA-1387C0BE0E0D}"/>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9" name="Text Box 723">
          <a:extLst>
            <a:ext uri="{FF2B5EF4-FFF2-40B4-BE49-F238E27FC236}">
              <a16:creationId xmlns:a16="http://schemas.microsoft.com/office/drawing/2014/main" id="{99660F2D-9684-665A-1AC4-B71332747510}"/>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0" name="Text Box 724">
          <a:extLst>
            <a:ext uri="{FF2B5EF4-FFF2-40B4-BE49-F238E27FC236}">
              <a16:creationId xmlns:a16="http://schemas.microsoft.com/office/drawing/2014/main" id="{D6CC771F-66E2-4F78-0172-DAF156C8E57F}"/>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1" name="Text Box 725">
          <a:extLst>
            <a:ext uri="{FF2B5EF4-FFF2-40B4-BE49-F238E27FC236}">
              <a16:creationId xmlns:a16="http://schemas.microsoft.com/office/drawing/2014/main" id="{44B57A24-F819-50F5-ED0C-1DA59FE2E917}"/>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02" name="Text Box 726">
          <a:extLst>
            <a:ext uri="{FF2B5EF4-FFF2-40B4-BE49-F238E27FC236}">
              <a16:creationId xmlns:a16="http://schemas.microsoft.com/office/drawing/2014/main" id="{9F54E591-0580-D4A3-E7A7-612FA1131C56}"/>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03" name="Text Box 727">
          <a:extLst>
            <a:ext uri="{FF2B5EF4-FFF2-40B4-BE49-F238E27FC236}">
              <a16:creationId xmlns:a16="http://schemas.microsoft.com/office/drawing/2014/main" id="{699AFD35-B22F-66AC-AC51-C91F2219AA99}"/>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04" name="Text Box 728">
          <a:extLst>
            <a:ext uri="{FF2B5EF4-FFF2-40B4-BE49-F238E27FC236}">
              <a16:creationId xmlns:a16="http://schemas.microsoft.com/office/drawing/2014/main" id="{CE40F855-8183-5AA5-53CC-B2B71830F49B}"/>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05" name="Text Box 729">
          <a:extLst>
            <a:ext uri="{FF2B5EF4-FFF2-40B4-BE49-F238E27FC236}">
              <a16:creationId xmlns:a16="http://schemas.microsoft.com/office/drawing/2014/main" id="{41CDCB49-22C3-17A0-DDB4-04F4B5BB9853}"/>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08" name="Text Box 732">
          <a:extLst>
            <a:ext uri="{FF2B5EF4-FFF2-40B4-BE49-F238E27FC236}">
              <a16:creationId xmlns:a16="http://schemas.microsoft.com/office/drawing/2014/main" id="{EAE1BE0B-D5CF-E74A-9389-89C0355BFEEB}"/>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09" name="Text Box 733">
          <a:extLst>
            <a:ext uri="{FF2B5EF4-FFF2-40B4-BE49-F238E27FC236}">
              <a16:creationId xmlns:a16="http://schemas.microsoft.com/office/drawing/2014/main" id="{C96BD588-6544-E469-7B23-6151649C84C5}"/>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10" name="Text Box 734">
          <a:extLst>
            <a:ext uri="{FF2B5EF4-FFF2-40B4-BE49-F238E27FC236}">
              <a16:creationId xmlns:a16="http://schemas.microsoft.com/office/drawing/2014/main" id="{81BC174B-BA76-483C-439C-EC7E75EEBD59}"/>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12" name="Text Box 736">
          <a:extLst>
            <a:ext uri="{FF2B5EF4-FFF2-40B4-BE49-F238E27FC236}">
              <a16:creationId xmlns:a16="http://schemas.microsoft.com/office/drawing/2014/main" id="{765038DD-160B-1D93-C58F-E98556CD99DB}"/>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13" name="Text Box 737">
          <a:extLst>
            <a:ext uri="{FF2B5EF4-FFF2-40B4-BE49-F238E27FC236}">
              <a16:creationId xmlns:a16="http://schemas.microsoft.com/office/drawing/2014/main" id="{9AE85727-D900-F2B8-8E42-FC97A910BBE0}"/>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14" name="Text Box 738">
          <a:extLst>
            <a:ext uri="{FF2B5EF4-FFF2-40B4-BE49-F238E27FC236}">
              <a16:creationId xmlns:a16="http://schemas.microsoft.com/office/drawing/2014/main" id="{2565BA1E-07D0-6883-3EA8-09149C69F78A}"/>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15" name="Text Box 739">
          <a:extLst>
            <a:ext uri="{FF2B5EF4-FFF2-40B4-BE49-F238E27FC236}">
              <a16:creationId xmlns:a16="http://schemas.microsoft.com/office/drawing/2014/main" id="{5E500165-78F4-7D83-1460-7AB5D2B5A115}"/>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18" name="Text Box 742">
          <a:extLst>
            <a:ext uri="{FF2B5EF4-FFF2-40B4-BE49-F238E27FC236}">
              <a16:creationId xmlns:a16="http://schemas.microsoft.com/office/drawing/2014/main" id="{B88518A1-E403-1110-3982-046DED157A2A}"/>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19" name="Text Box 743">
          <a:extLst>
            <a:ext uri="{FF2B5EF4-FFF2-40B4-BE49-F238E27FC236}">
              <a16:creationId xmlns:a16="http://schemas.microsoft.com/office/drawing/2014/main" id="{FA3997AD-70BA-7F0E-ACF3-11A5D9B320C4}"/>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20" name="Text Box 744">
          <a:extLst>
            <a:ext uri="{FF2B5EF4-FFF2-40B4-BE49-F238E27FC236}">
              <a16:creationId xmlns:a16="http://schemas.microsoft.com/office/drawing/2014/main" id="{874538C6-6AA8-6AD5-4EA5-EAEDCB2E0358}"/>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596265</xdr:colOff>
      <xdr:row>87</xdr:row>
      <xdr:rowOff>0</xdr:rowOff>
    </xdr:from>
    <xdr:to>
      <xdr:col>0</xdr:col>
      <xdr:colOff>714798</xdr:colOff>
      <xdr:row>87</xdr:row>
      <xdr:rowOff>0</xdr:rowOff>
    </xdr:to>
    <xdr:sp macro="" textlink="">
      <xdr:nvSpPr>
        <xdr:cNvPr id="422" name="Text Box 746">
          <a:extLst>
            <a:ext uri="{FF2B5EF4-FFF2-40B4-BE49-F238E27FC236}">
              <a16:creationId xmlns:a16="http://schemas.microsoft.com/office/drawing/2014/main" id="{557E33D4-C7C9-57BF-EA39-952A204AF6A6}"/>
            </a:ext>
          </a:extLst>
        </xdr:cNvPr>
        <xdr:cNvSpPr txBox="1">
          <a:spLocks noChangeArrowheads="1"/>
        </xdr:cNvSpPr>
      </xdr:nvSpPr>
      <xdr:spPr bwMode="auto">
        <a:xfrm>
          <a:off x="657225" y="100869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745" name="Text Box 875">
          <a:extLst>
            <a:ext uri="{FF2B5EF4-FFF2-40B4-BE49-F238E27FC236}">
              <a16:creationId xmlns:a16="http://schemas.microsoft.com/office/drawing/2014/main" id="{B459D64C-41A3-80F9-36DE-AD590215D74F}"/>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746" name="Text Box 876">
          <a:extLst>
            <a:ext uri="{FF2B5EF4-FFF2-40B4-BE49-F238E27FC236}">
              <a16:creationId xmlns:a16="http://schemas.microsoft.com/office/drawing/2014/main" id="{FD2A08FC-B83C-EBED-2DF2-0E693D4E64D1}"/>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747" name="Text Box 877">
          <a:extLst>
            <a:ext uri="{FF2B5EF4-FFF2-40B4-BE49-F238E27FC236}">
              <a16:creationId xmlns:a16="http://schemas.microsoft.com/office/drawing/2014/main" id="{CA024FFC-2578-3432-EC9B-91FA048D32DE}"/>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748" name="Text Box 878">
          <a:extLst>
            <a:ext uri="{FF2B5EF4-FFF2-40B4-BE49-F238E27FC236}">
              <a16:creationId xmlns:a16="http://schemas.microsoft.com/office/drawing/2014/main" id="{E22CE83E-7188-8AC6-090D-DDCE94A7DB14}"/>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82</xdr:row>
      <xdr:rowOff>0</xdr:rowOff>
    </xdr:from>
    <xdr:to>
      <xdr:col>0</xdr:col>
      <xdr:colOff>695101</xdr:colOff>
      <xdr:row>82</xdr:row>
      <xdr:rowOff>0</xdr:rowOff>
    </xdr:to>
    <xdr:sp macro="" textlink="">
      <xdr:nvSpPr>
        <xdr:cNvPr id="526" name="Text Box 879">
          <a:extLst>
            <a:ext uri="{FF2B5EF4-FFF2-40B4-BE49-F238E27FC236}">
              <a16:creationId xmlns:a16="http://schemas.microsoft.com/office/drawing/2014/main" id="{0FEDD280-18D1-619F-E82A-007C872A3162}"/>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750" name="Text Box 880">
          <a:extLst>
            <a:ext uri="{FF2B5EF4-FFF2-40B4-BE49-F238E27FC236}">
              <a16:creationId xmlns:a16="http://schemas.microsoft.com/office/drawing/2014/main" id="{C6A57A44-A2AA-53C4-D295-CA95A8F7B4EA}"/>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751" name="Text Box 881">
          <a:extLst>
            <a:ext uri="{FF2B5EF4-FFF2-40B4-BE49-F238E27FC236}">
              <a16:creationId xmlns:a16="http://schemas.microsoft.com/office/drawing/2014/main" id="{FA95819A-E022-789F-B918-CB2159910241}"/>
            </a:ext>
          </a:extLst>
        </xdr:cNvPr>
        <xdr:cNvSpPr txBox="1">
          <a:spLocks noChangeArrowheads="1"/>
        </xdr:cNvSpPr>
      </xdr:nvSpPr>
      <xdr:spPr bwMode="auto">
        <a:xfrm>
          <a:off x="1059180" y="368046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83</xdr:row>
      <xdr:rowOff>0</xdr:rowOff>
    </xdr:from>
    <xdr:to>
      <xdr:col>0</xdr:col>
      <xdr:colOff>714798</xdr:colOff>
      <xdr:row>83</xdr:row>
      <xdr:rowOff>0</xdr:rowOff>
    </xdr:to>
    <xdr:sp macro="" textlink="">
      <xdr:nvSpPr>
        <xdr:cNvPr id="529" name="Text Box 882">
          <a:extLst>
            <a:ext uri="{FF2B5EF4-FFF2-40B4-BE49-F238E27FC236}">
              <a16:creationId xmlns:a16="http://schemas.microsoft.com/office/drawing/2014/main" id="{C249ACE2-1659-C5D1-E313-F6FF791D3F49}"/>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0</xdr:colOff>
      <xdr:row>79</xdr:row>
      <xdr:rowOff>49530</xdr:rowOff>
    </xdr:from>
    <xdr:to>
      <xdr:col>60</xdr:col>
      <xdr:colOff>0</xdr:colOff>
      <xdr:row>80</xdr:row>
      <xdr:rowOff>48006</xdr:rowOff>
    </xdr:to>
    <xdr:sp macro="" textlink="">
      <xdr:nvSpPr>
        <xdr:cNvPr id="904" name="Text Box 1333">
          <a:extLst>
            <a:ext uri="{FF2B5EF4-FFF2-40B4-BE49-F238E27FC236}">
              <a16:creationId xmlns:a16="http://schemas.microsoft.com/office/drawing/2014/main" id="{A9C6938F-9477-456E-0374-C2FE5613CE6B}"/>
            </a:ext>
          </a:extLst>
        </xdr:cNvPr>
        <xdr:cNvSpPr txBox="1">
          <a:spLocks noChangeArrowheads="1"/>
        </xdr:cNvSpPr>
      </xdr:nvSpPr>
      <xdr:spPr bwMode="auto">
        <a:xfrm>
          <a:off x="5457825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59</xdr:col>
      <xdr:colOff>643890</xdr:colOff>
      <xdr:row>82</xdr:row>
      <xdr:rowOff>49530</xdr:rowOff>
    </xdr:from>
    <xdr:to>
      <xdr:col>60</xdr:col>
      <xdr:colOff>1905</xdr:colOff>
      <xdr:row>83</xdr:row>
      <xdr:rowOff>423</xdr:rowOff>
    </xdr:to>
    <xdr:sp macro="" textlink="">
      <xdr:nvSpPr>
        <xdr:cNvPr id="905" name="Text Box 1334">
          <a:extLst>
            <a:ext uri="{FF2B5EF4-FFF2-40B4-BE49-F238E27FC236}">
              <a16:creationId xmlns:a16="http://schemas.microsoft.com/office/drawing/2014/main" id="{4AD668BF-9933-F303-7122-5D25DAF04A66}"/>
            </a:ext>
          </a:extLst>
        </xdr:cNvPr>
        <xdr:cNvSpPr txBox="1">
          <a:spLocks noChangeArrowheads="1"/>
        </xdr:cNvSpPr>
      </xdr:nvSpPr>
      <xdr:spPr bwMode="auto">
        <a:xfrm>
          <a:off x="54578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643890</xdr:colOff>
      <xdr:row>86</xdr:row>
      <xdr:rowOff>49530</xdr:rowOff>
    </xdr:from>
    <xdr:to>
      <xdr:col>60</xdr:col>
      <xdr:colOff>1905</xdr:colOff>
      <xdr:row>87</xdr:row>
      <xdr:rowOff>423</xdr:rowOff>
    </xdr:to>
    <xdr:sp macro="" textlink="">
      <xdr:nvSpPr>
        <xdr:cNvPr id="906" name="Text Box 1336">
          <a:extLst>
            <a:ext uri="{FF2B5EF4-FFF2-40B4-BE49-F238E27FC236}">
              <a16:creationId xmlns:a16="http://schemas.microsoft.com/office/drawing/2014/main" id="{5FACA9A4-44A5-50F1-2A6E-F3E5E0D36847}"/>
            </a:ext>
          </a:extLst>
        </xdr:cNvPr>
        <xdr:cNvSpPr txBox="1">
          <a:spLocks noChangeArrowheads="1"/>
        </xdr:cNvSpPr>
      </xdr:nvSpPr>
      <xdr:spPr bwMode="auto">
        <a:xfrm>
          <a:off x="54578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756" name="Text Box 449">
          <a:extLst>
            <a:ext uri="{FF2B5EF4-FFF2-40B4-BE49-F238E27FC236}">
              <a16:creationId xmlns:a16="http://schemas.microsoft.com/office/drawing/2014/main" id="{FE3DC66C-ABFB-BF0D-A105-6B8AF329DDE8}"/>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57" name="Text Box 452">
          <a:extLst>
            <a:ext uri="{FF2B5EF4-FFF2-40B4-BE49-F238E27FC236}">
              <a16:creationId xmlns:a16="http://schemas.microsoft.com/office/drawing/2014/main" id="{088DE73E-9BB8-C114-923F-68C883D83587}"/>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58" name="Text Box 545">
          <a:extLst>
            <a:ext uri="{FF2B5EF4-FFF2-40B4-BE49-F238E27FC236}">
              <a16:creationId xmlns:a16="http://schemas.microsoft.com/office/drawing/2014/main" id="{1B6E3D10-E498-9E73-C872-D4F1D3A12201}"/>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59" name="Text Box 546">
          <a:extLst>
            <a:ext uri="{FF2B5EF4-FFF2-40B4-BE49-F238E27FC236}">
              <a16:creationId xmlns:a16="http://schemas.microsoft.com/office/drawing/2014/main" id="{FA592A3E-0230-2676-04D1-D2B4974B0972}"/>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620" name="Text Box 547">
          <a:extLst>
            <a:ext uri="{FF2B5EF4-FFF2-40B4-BE49-F238E27FC236}">
              <a16:creationId xmlns:a16="http://schemas.microsoft.com/office/drawing/2014/main" id="{F57E0B64-BD5F-4454-5AFB-76145D9F2FE9}"/>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761" name="Text Box 548">
          <a:extLst>
            <a:ext uri="{FF2B5EF4-FFF2-40B4-BE49-F238E27FC236}">
              <a16:creationId xmlns:a16="http://schemas.microsoft.com/office/drawing/2014/main" id="{EF10A3B0-4AD3-C0E8-509E-539175BCD941}"/>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62" name="Text Box 549">
          <a:extLst>
            <a:ext uri="{FF2B5EF4-FFF2-40B4-BE49-F238E27FC236}">
              <a16:creationId xmlns:a16="http://schemas.microsoft.com/office/drawing/2014/main" id="{33D3E78F-270C-9BEF-0EFC-008BA297CB27}"/>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623" name="Text Box 550">
          <a:extLst>
            <a:ext uri="{FF2B5EF4-FFF2-40B4-BE49-F238E27FC236}">
              <a16:creationId xmlns:a16="http://schemas.microsoft.com/office/drawing/2014/main" id="{8FB27621-9F00-373A-FC9C-D49FDD23BAD9}"/>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638175</xdr:colOff>
      <xdr:row>87</xdr:row>
      <xdr:rowOff>0</xdr:rowOff>
    </xdr:from>
    <xdr:to>
      <xdr:col>66</xdr:col>
      <xdr:colOff>638175</xdr:colOff>
      <xdr:row>87</xdr:row>
      <xdr:rowOff>0</xdr:rowOff>
    </xdr:to>
    <xdr:sp macro="" textlink="">
      <xdr:nvSpPr>
        <xdr:cNvPr id="624" name="Text Box 746">
          <a:extLst>
            <a:ext uri="{FF2B5EF4-FFF2-40B4-BE49-F238E27FC236}">
              <a16:creationId xmlns:a16="http://schemas.microsoft.com/office/drawing/2014/main" id="{876DE0F2-51A1-EA6B-74A8-C7393707C1A3}"/>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765" name="Text Box 875">
          <a:extLst>
            <a:ext uri="{FF2B5EF4-FFF2-40B4-BE49-F238E27FC236}">
              <a16:creationId xmlns:a16="http://schemas.microsoft.com/office/drawing/2014/main" id="{689F0184-2C36-640F-D740-A600ABE9A52E}"/>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66" name="Text Box 876">
          <a:extLst>
            <a:ext uri="{FF2B5EF4-FFF2-40B4-BE49-F238E27FC236}">
              <a16:creationId xmlns:a16="http://schemas.microsoft.com/office/drawing/2014/main" id="{549FA058-51D6-CFB7-A95E-9A08A3CFC063}"/>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67" name="Text Box 877">
          <a:extLst>
            <a:ext uri="{FF2B5EF4-FFF2-40B4-BE49-F238E27FC236}">
              <a16:creationId xmlns:a16="http://schemas.microsoft.com/office/drawing/2014/main" id="{AD74CDE7-8266-C941-6B27-780A40ACDABB}"/>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68" name="Text Box 878">
          <a:extLst>
            <a:ext uri="{FF2B5EF4-FFF2-40B4-BE49-F238E27FC236}">
              <a16:creationId xmlns:a16="http://schemas.microsoft.com/office/drawing/2014/main" id="{C4B67BC7-021D-25CE-E94F-32A62DF8DF62}"/>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629" name="Text Box 879">
          <a:extLst>
            <a:ext uri="{FF2B5EF4-FFF2-40B4-BE49-F238E27FC236}">
              <a16:creationId xmlns:a16="http://schemas.microsoft.com/office/drawing/2014/main" id="{AAEDB488-7D3B-CA87-B701-972035316A10}"/>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770" name="Text Box 880">
          <a:extLst>
            <a:ext uri="{FF2B5EF4-FFF2-40B4-BE49-F238E27FC236}">
              <a16:creationId xmlns:a16="http://schemas.microsoft.com/office/drawing/2014/main" id="{605E768D-3847-2C7F-1C82-216C8FF3740D}"/>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771" name="Text Box 881">
          <a:extLst>
            <a:ext uri="{FF2B5EF4-FFF2-40B4-BE49-F238E27FC236}">
              <a16:creationId xmlns:a16="http://schemas.microsoft.com/office/drawing/2014/main" id="{4638E28D-2C5D-7F03-B707-0B7FCD557996}"/>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632" name="Text Box 882">
          <a:extLst>
            <a:ext uri="{FF2B5EF4-FFF2-40B4-BE49-F238E27FC236}">
              <a16:creationId xmlns:a16="http://schemas.microsoft.com/office/drawing/2014/main" id="{567CA9C8-3149-57C6-0FF0-6CDE745FE6C4}"/>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773" name="Text Box 449">
          <a:extLst>
            <a:ext uri="{FF2B5EF4-FFF2-40B4-BE49-F238E27FC236}">
              <a16:creationId xmlns:a16="http://schemas.microsoft.com/office/drawing/2014/main" id="{A124C85F-3C38-016B-B55F-9A1C1206FD28}"/>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74" name="Text Box 452">
          <a:extLst>
            <a:ext uri="{FF2B5EF4-FFF2-40B4-BE49-F238E27FC236}">
              <a16:creationId xmlns:a16="http://schemas.microsoft.com/office/drawing/2014/main" id="{8577E870-89C1-24A4-0402-DBA67F71EC97}"/>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75" name="Text Box 545">
          <a:extLst>
            <a:ext uri="{FF2B5EF4-FFF2-40B4-BE49-F238E27FC236}">
              <a16:creationId xmlns:a16="http://schemas.microsoft.com/office/drawing/2014/main" id="{A2F34419-7B9B-CB13-7A92-C41FB4B076FA}"/>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76" name="Text Box 546">
          <a:extLst>
            <a:ext uri="{FF2B5EF4-FFF2-40B4-BE49-F238E27FC236}">
              <a16:creationId xmlns:a16="http://schemas.microsoft.com/office/drawing/2014/main" id="{F38A437A-F852-9B70-281A-6BFAF9B2A7DE}"/>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37" name="Text Box 547">
          <a:extLst>
            <a:ext uri="{FF2B5EF4-FFF2-40B4-BE49-F238E27FC236}">
              <a16:creationId xmlns:a16="http://schemas.microsoft.com/office/drawing/2014/main" id="{099DE12C-DE4D-A714-38A4-1DD35D2EDA69}"/>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778" name="Text Box 548">
          <a:extLst>
            <a:ext uri="{FF2B5EF4-FFF2-40B4-BE49-F238E27FC236}">
              <a16:creationId xmlns:a16="http://schemas.microsoft.com/office/drawing/2014/main" id="{CB596C08-AD5C-B17C-947B-91A94D9E6DBC}"/>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79" name="Text Box 549">
          <a:extLst>
            <a:ext uri="{FF2B5EF4-FFF2-40B4-BE49-F238E27FC236}">
              <a16:creationId xmlns:a16="http://schemas.microsoft.com/office/drawing/2014/main" id="{70A9FBA5-24A3-B9DD-9EAD-232E3D59C742}"/>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0" name="Text Box 550">
          <a:extLst>
            <a:ext uri="{FF2B5EF4-FFF2-40B4-BE49-F238E27FC236}">
              <a16:creationId xmlns:a16="http://schemas.microsoft.com/office/drawing/2014/main" id="{2CEB33D7-B62C-5396-6872-DB745C93D06F}"/>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641" name="Text Box 746">
          <a:extLst>
            <a:ext uri="{FF2B5EF4-FFF2-40B4-BE49-F238E27FC236}">
              <a16:creationId xmlns:a16="http://schemas.microsoft.com/office/drawing/2014/main" id="{BD6128C6-5CB4-EDAE-E386-16EC3747D782}"/>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782" name="Text Box 875">
          <a:extLst>
            <a:ext uri="{FF2B5EF4-FFF2-40B4-BE49-F238E27FC236}">
              <a16:creationId xmlns:a16="http://schemas.microsoft.com/office/drawing/2014/main" id="{26B1ADBF-2DBC-8035-291F-9934DC1BAFBF}"/>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83" name="Text Box 876">
          <a:extLst>
            <a:ext uri="{FF2B5EF4-FFF2-40B4-BE49-F238E27FC236}">
              <a16:creationId xmlns:a16="http://schemas.microsoft.com/office/drawing/2014/main" id="{7E43CAA2-C9C8-109B-DB22-9FAE086E30BC}"/>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84" name="Text Box 877">
          <a:extLst>
            <a:ext uri="{FF2B5EF4-FFF2-40B4-BE49-F238E27FC236}">
              <a16:creationId xmlns:a16="http://schemas.microsoft.com/office/drawing/2014/main" id="{4794D85B-9706-D916-0DAF-C8C9321804DE}"/>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85" name="Text Box 878">
          <a:extLst>
            <a:ext uri="{FF2B5EF4-FFF2-40B4-BE49-F238E27FC236}">
              <a16:creationId xmlns:a16="http://schemas.microsoft.com/office/drawing/2014/main" id="{CD68D423-DBC7-C9B3-95E5-ECD9E2F86C02}"/>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46" name="Text Box 879">
          <a:extLst>
            <a:ext uri="{FF2B5EF4-FFF2-40B4-BE49-F238E27FC236}">
              <a16:creationId xmlns:a16="http://schemas.microsoft.com/office/drawing/2014/main" id="{E329521B-DABF-F5BB-2F45-037BF10F8767}"/>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787" name="Text Box 880">
          <a:extLst>
            <a:ext uri="{FF2B5EF4-FFF2-40B4-BE49-F238E27FC236}">
              <a16:creationId xmlns:a16="http://schemas.microsoft.com/office/drawing/2014/main" id="{2557B6B8-3C6B-B964-05AD-2FE0C92CD67F}"/>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788" name="Text Box 881">
          <a:extLst>
            <a:ext uri="{FF2B5EF4-FFF2-40B4-BE49-F238E27FC236}">
              <a16:creationId xmlns:a16="http://schemas.microsoft.com/office/drawing/2014/main" id="{1640751A-98EC-8E4E-836A-33137B02FDC4}"/>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9" name="Text Box 882">
          <a:extLst>
            <a:ext uri="{FF2B5EF4-FFF2-40B4-BE49-F238E27FC236}">
              <a16:creationId xmlns:a16="http://schemas.microsoft.com/office/drawing/2014/main" id="{69D233D0-44BA-4078-9421-21F44FAEB4EF}"/>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790" name="Text Box 449">
          <a:extLst>
            <a:ext uri="{FF2B5EF4-FFF2-40B4-BE49-F238E27FC236}">
              <a16:creationId xmlns:a16="http://schemas.microsoft.com/office/drawing/2014/main" id="{C32114B3-AC5A-7492-99D3-6B31BABC16DE}"/>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791" name="Text Box 452">
          <a:extLst>
            <a:ext uri="{FF2B5EF4-FFF2-40B4-BE49-F238E27FC236}">
              <a16:creationId xmlns:a16="http://schemas.microsoft.com/office/drawing/2014/main" id="{DFBBD33D-DF53-88AD-FBF2-B2FB237BBDFF}"/>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792" name="Text Box 545">
          <a:extLst>
            <a:ext uri="{FF2B5EF4-FFF2-40B4-BE49-F238E27FC236}">
              <a16:creationId xmlns:a16="http://schemas.microsoft.com/office/drawing/2014/main" id="{CF84456B-7D7A-5844-2A3B-D6A0B84E4C32}"/>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793" name="Text Box 546">
          <a:extLst>
            <a:ext uri="{FF2B5EF4-FFF2-40B4-BE49-F238E27FC236}">
              <a16:creationId xmlns:a16="http://schemas.microsoft.com/office/drawing/2014/main" id="{1115127B-9295-E24B-8359-B9E4C1CF24FA}"/>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54" name="Text Box 547">
          <a:extLst>
            <a:ext uri="{FF2B5EF4-FFF2-40B4-BE49-F238E27FC236}">
              <a16:creationId xmlns:a16="http://schemas.microsoft.com/office/drawing/2014/main" id="{40FE349D-DFCC-9717-9F34-74AC1CDCC5D3}"/>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795" name="Text Box 548">
          <a:extLst>
            <a:ext uri="{FF2B5EF4-FFF2-40B4-BE49-F238E27FC236}">
              <a16:creationId xmlns:a16="http://schemas.microsoft.com/office/drawing/2014/main" id="{30D2832C-ADC2-7EEC-B036-5C26D2E656D6}"/>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796" name="Text Box 549">
          <a:extLst>
            <a:ext uri="{FF2B5EF4-FFF2-40B4-BE49-F238E27FC236}">
              <a16:creationId xmlns:a16="http://schemas.microsoft.com/office/drawing/2014/main" id="{B6E017D8-1D3E-D921-9BC5-576317A3B9A5}"/>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57" name="Text Box 550">
          <a:extLst>
            <a:ext uri="{FF2B5EF4-FFF2-40B4-BE49-F238E27FC236}">
              <a16:creationId xmlns:a16="http://schemas.microsoft.com/office/drawing/2014/main" id="{92CB64EF-8BA3-37ED-EBB8-9CD692B62139}"/>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658" name="Text Box 746">
          <a:extLst>
            <a:ext uri="{FF2B5EF4-FFF2-40B4-BE49-F238E27FC236}">
              <a16:creationId xmlns:a16="http://schemas.microsoft.com/office/drawing/2014/main" id="{D33EAB56-006D-8A30-11C5-305BB8CDD295}"/>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799" name="Text Box 875">
          <a:extLst>
            <a:ext uri="{FF2B5EF4-FFF2-40B4-BE49-F238E27FC236}">
              <a16:creationId xmlns:a16="http://schemas.microsoft.com/office/drawing/2014/main" id="{7CB0D2FE-7E09-F0E3-7DFC-51EFFFF91525}"/>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00" name="Text Box 876">
          <a:extLst>
            <a:ext uri="{FF2B5EF4-FFF2-40B4-BE49-F238E27FC236}">
              <a16:creationId xmlns:a16="http://schemas.microsoft.com/office/drawing/2014/main" id="{2C093038-E314-A0D5-FAF9-94DCEE2DF27D}"/>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01" name="Text Box 877">
          <a:extLst>
            <a:ext uri="{FF2B5EF4-FFF2-40B4-BE49-F238E27FC236}">
              <a16:creationId xmlns:a16="http://schemas.microsoft.com/office/drawing/2014/main" id="{9E98ECCF-6A2E-6A64-725F-0DEFE311AA41}"/>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02" name="Text Box 878">
          <a:extLst>
            <a:ext uri="{FF2B5EF4-FFF2-40B4-BE49-F238E27FC236}">
              <a16:creationId xmlns:a16="http://schemas.microsoft.com/office/drawing/2014/main" id="{774DD65F-75B0-FE75-9A6D-05722D89514B}"/>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63" name="Text Box 879">
          <a:extLst>
            <a:ext uri="{FF2B5EF4-FFF2-40B4-BE49-F238E27FC236}">
              <a16:creationId xmlns:a16="http://schemas.microsoft.com/office/drawing/2014/main" id="{F4A22B69-1DC6-B8BB-E6FF-1FEA39F064AE}"/>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804" name="Text Box 880">
          <a:extLst>
            <a:ext uri="{FF2B5EF4-FFF2-40B4-BE49-F238E27FC236}">
              <a16:creationId xmlns:a16="http://schemas.microsoft.com/office/drawing/2014/main" id="{D56DE9CB-DD2E-8D56-5336-28275F40005B}"/>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05" name="Text Box 881">
          <a:extLst>
            <a:ext uri="{FF2B5EF4-FFF2-40B4-BE49-F238E27FC236}">
              <a16:creationId xmlns:a16="http://schemas.microsoft.com/office/drawing/2014/main" id="{6D3295DF-E439-C1B7-5F41-B9ADE8F4C804}"/>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66" name="Text Box 882">
          <a:extLst>
            <a:ext uri="{FF2B5EF4-FFF2-40B4-BE49-F238E27FC236}">
              <a16:creationId xmlns:a16="http://schemas.microsoft.com/office/drawing/2014/main" id="{C492D8B4-ED07-00F7-51C3-A10BCD7DABC5}"/>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807" name="Text Box 449">
          <a:extLst>
            <a:ext uri="{FF2B5EF4-FFF2-40B4-BE49-F238E27FC236}">
              <a16:creationId xmlns:a16="http://schemas.microsoft.com/office/drawing/2014/main" id="{745FF9BC-C8E0-3999-2551-6F224B08A40B}"/>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08" name="Text Box 452">
          <a:extLst>
            <a:ext uri="{FF2B5EF4-FFF2-40B4-BE49-F238E27FC236}">
              <a16:creationId xmlns:a16="http://schemas.microsoft.com/office/drawing/2014/main" id="{A7D92A1A-3FC3-55CB-B480-A90991C3FD92}"/>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09" name="Text Box 545">
          <a:extLst>
            <a:ext uri="{FF2B5EF4-FFF2-40B4-BE49-F238E27FC236}">
              <a16:creationId xmlns:a16="http://schemas.microsoft.com/office/drawing/2014/main" id="{1EB37190-F538-03C2-91BE-C5A05A19EC35}"/>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10" name="Text Box 546">
          <a:extLst>
            <a:ext uri="{FF2B5EF4-FFF2-40B4-BE49-F238E27FC236}">
              <a16:creationId xmlns:a16="http://schemas.microsoft.com/office/drawing/2014/main" id="{F3449CA8-643E-A936-E5F8-10CD54A00319}"/>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773" name="Text Box 547">
          <a:extLst>
            <a:ext uri="{FF2B5EF4-FFF2-40B4-BE49-F238E27FC236}">
              <a16:creationId xmlns:a16="http://schemas.microsoft.com/office/drawing/2014/main" id="{BBE5634A-5A4C-819E-8CA8-2AA013E01B1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812" name="Text Box 548">
          <a:extLst>
            <a:ext uri="{FF2B5EF4-FFF2-40B4-BE49-F238E27FC236}">
              <a16:creationId xmlns:a16="http://schemas.microsoft.com/office/drawing/2014/main" id="{AD075B6A-6069-7139-0F7B-E2812FCD7A0F}"/>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13" name="Text Box 549">
          <a:extLst>
            <a:ext uri="{FF2B5EF4-FFF2-40B4-BE49-F238E27FC236}">
              <a16:creationId xmlns:a16="http://schemas.microsoft.com/office/drawing/2014/main" id="{14DBB24D-2401-22A8-8B76-D48610FC8FB9}"/>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776" name="Text Box 550">
          <a:extLst>
            <a:ext uri="{FF2B5EF4-FFF2-40B4-BE49-F238E27FC236}">
              <a16:creationId xmlns:a16="http://schemas.microsoft.com/office/drawing/2014/main" id="{0946476F-4F5B-93B5-4D3F-E02F9BB632AE}"/>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638175</xdr:colOff>
      <xdr:row>87</xdr:row>
      <xdr:rowOff>0</xdr:rowOff>
    </xdr:from>
    <xdr:to>
      <xdr:col>66</xdr:col>
      <xdr:colOff>638175</xdr:colOff>
      <xdr:row>87</xdr:row>
      <xdr:rowOff>0</xdr:rowOff>
    </xdr:to>
    <xdr:sp macro="" textlink="">
      <xdr:nvSpPr>
        <xdr:cNvPr id="777" name="Text Box 746">
          <a:extLst>
            <a:ext uri="{FF2B5EF4-FFF2-40B4-BE49-F238E27FC236}">
              <a16:creationId xmlns:a16="http://schemas.microsoft.com/office/drawing/2014/main" id="{3885E419-EEFC-F823-756E-D709B327C98F}"/>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816" name="Text Box 875">
          <a:extLst>
            <a:ext uri="{FF2B5EF4-FFF2-40B4-BE49-F238E27FC236}">
              <a16:creationId xmlns:a16="http://schemas.microsoft.com/office/drawing/2014/main" id="{46CE3586-097A-DDAF-CF1C-BB121E93199C}"/>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17" name="Text Box 876">
          <a:extLst>
            <a:ext uri="{FF2B5EF4-FFF2-40B4-BE49-F238E27FC236}">
              <a16:creationId xmlns:a16="http://schemas.microsoft.com/office/drawing/2014/main" id="{3B6D2E27-032D-B566-05AD-3841CFDEB40A}"/>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18" name="Text Box 877">
          <a:extLst>
            <a:ext uri="{FF2B5EF4-FFF2-40B4-BE49-F238E27FC236}">
              <a16:creationId xmlns:a16="http://schemas.microsoft.com/office/drawing/2014/main" id="{483D4094-50CB-0C2F-E49D-A45465A622A5}"/>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19" name="Text Box 878">
          <a:extLst>
            <a:ext uri="{FF2B5EF4-FFF2-40B4-BE49-F238E27FC236}">
              <a16:creationId xmlns:a16="http://schemas.microsoft.com/office/drawing/2014/main" id="{1A4BE980-A88E-C1DA-532D-3C81D0D63F22}"/>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782" name="Text Box 879">
          <a:extLst>
            <a:ext uri="{FF2B5EF4-FFF2-40B4-BE49-F238E27FC236}">
              <a16:creationId xmlns:a16="http://schemas.microsoft.com/office/drawing/2014/main" id="{9976219E-1FF9-0BFA-9136-F91B74F205F1}"/>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821" name="Text Box 880">
          <a:extLst>
            <a:ext uri="{FF2B5EF4-FFF2-40B4-BE49-F238E27FC236}">
              <a16:creationId xmlns:a16="http://schemas.microsoft.com/office/drawing/2014/main" id="{1F8A3C1A-70CD-6D85-CF5C-8B5FB0950473}"/>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822" name="Text Box 881">
          <a:extLst>
            <a:ext uri="{FF2B5EF4-FFF2-40B4-BE49-F238E27FC236}">
              <a16:creationId xmlns:a16="http://schemas.microsoft.com/office/drawing/2014/main" id="{1CF602F6-DB3C-E18D-4D01-78E8B018255E}"/>
            </a:ext>
          </a:extLst>
        </xdr:cNvPr>
        <xdr:cNvSpPr txBox="1">
          <a:spLocks noChangeArrowheads="1"/>
        </xdr:cNvSpPr>
      </xdr:nvSpPr>
      <xdr:spPr bwMode="auto">
        <a:xfrm>
          <a:off x="43929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785" name="Text Box 882">
          <a:extLst>
            <a:ext uri="{FF2B5EF4-FFF2-40B4-BE49-F238E27FC236}">
              <a16:creationId xmlns:a16="http://schemas.microsoft.com/office/drawing/2014/main" id="{865925A2-781A-C2EF-DCAD-C3A19436123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824" name="Text Box 449">
          <a:extLst>
            <a:ext uri="{FF2B5EF4-FFF2-40B4-BE49-F238E27FC236}">
              <a16:creationId xmlns:a16="http://schemas.microsoft.com/office/drawing/2014/main" id="{DB2D1947-1D9E-4FBB-E36B-9D38A5CCA336}"/>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25" name="Text Box 452">
          <a:extLst>
            <a:ext uri="{FF2B5EF4-FFF2-40B4-BE49-F238E27FC236}">
              <a16:creationId xmlns:a16="http://schemas.microsoft.com/office/drawing/2014/main" id="{331AE129-C140-7E6D-D536-DE205CB70ED1}"/>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26" name="Text Box 545">
          <a:extLst>
            <a:ext uri="{FF2B5EF4-FFF2-40B4-BE49-F238E27FC236}">
              <a16:creationId xmlns:a16="http://schemas.microsoft.com/office/drawing/2014/main" id="{9DF425A0-37CF-DB64-1086-A700133DEEB3}"/>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27" name="Text Box 546">
          <a:extLst>
            <a:ext uri="{FF2B5EF4-FFF2-40B4-BE49-F238E27FC236}">
              <a16:creationId xmlns:a16="http://schemas.microsoft.com/office/drawing/2014/main" id="{205776D2-0D37-EDB9-1860-CD3A4B3691F4}"/>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0" name="Text Box 547">
          <a:extLst>
            <a:ext uri="{FF2B5EF4-FFF2-40B4-BE49-F238E27FC236}">
              <a16:creationId xmlns:a16="http://schemas.microsoft.com/office/drawing/2014/main" id="{FA3F7AF2-A1F1-9A36-931C-921051DF6585}"/>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829" name="Text Box 548">
          <a:extLst>
            <a:ext uri="{FF2B5EF4-FFF2-40B4-BE49-F238E27FC236}">
              <a16:creationId xmlns:a16="http://schemas.microsoft.com/office/drawing/2014/main" id="{9FF3CAC6-4553-3956-B163-BBB7B4138468}"/>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30" name="Text Box 549">
          <a:extLst>
            <a:ext uri="{FF2B5EF4-FFF2-40B4-BE49-F238E27FC236}">
              <a16:creationId xmlns:a16="http://schemas.microsoft.com/office/drawing/2014/main" id="{4787AD08-1A50-6AA3-A2B1-C864D532DA6A}"/>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793" name="Text Box 550">
          <a:extLst>
            <a:ext uri="{FF2B5EF4-FFF2-40B4-BE49-F238E27FC236}">
              <a16:creationId xmlns:a16="http://schemas.microsoft.com/office/drawing/2014/main" id="{A809546F-BA76-4802-114A-7394FCE563D8}"/>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794" name="Text Box 746">
          <a:extLst>
            <a:ext uri="{FF2B5EF4-FFF2-40B4-BE49-F238E27FC236}">
              <a16:creationId xmlns:a16="http://schemas.microsoft.com/office/drawing/2014/main" id="{D272AD2F-A524-D738-537F-E469124818A5}"/>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833" name="Text Box 875">
          <a:extLst>
            <a:ext uri="{FF2B5EF4-FFF2-40B4-BE49-F238E27FC236}">
              <a16:creationId xmlns:a16="http://schemas.microsoft.com/office/drawing/2014/main" id="{5F4C3DE8-BA9E-C8E7-1B40-1CF5FD324F0E}"/>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34" name="Text Box 876">
          <a:extLst>
            <a:ext uri="{FF2B5EF4-FFF2-40B4-BE49-F238E27FC236}">
              <a16:creationId xmlns:a16="http://schemas.microsoft.com/office/drawing/2014/main" id="{43B540BA-B488-5B2F-1129-0830DC21775C}"/>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35" name="Text Box 877">
          <a:extLst>
            <a:ext uri="{FF2B5EF4-FFF2-40B4-BE49-F238E27FC236}">
              <a16:creationId xmlns:a16="http://schemas.microsoft.com/office/drawing/2014/main" id="{3FFE7CCD-8CED-814A-A8C2-6ABB7BDB92CF}"/>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36" name="Text Box 878">
          <a:extLst>
            <a:ext uri="{FF2B5EF4-FFF2-40B4-BE49-F238E27FC236}">
              <a16:creationId xmlns:a16="http://schemas.microsoft.com/office/drawing/2014/main" id="{86B07AA4-93A6-85D7-A48F-B383E0138195}"/>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9" name="Text Box 879">
          <a:extLst>
            <a:ext uri="{FF2B5EF4-FFF2-40B4-BE49-F238E27FC236}">
              <a16:creationId xmlns:a16="http://schemas.microsoft.com/office/drawing/2014/main" id="{C7699E9B-8974-C824-4D07-D1EB38DA495F}"/>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838" name="Text Box 880">
          <a:extLst>
            <a:ext uri="{FF2B5EF4-FFF2-40B4-BE49-F238E27FC236}">
              <a16:creationId xmlns:a16="http://schemas.microsoft.com/office/drawing/2014/main" id="{EC888602-EC1D-A1C9-5C1F-10858D2D43C3}"/>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839" name="Text Box 881">
          <a:extLst>
            <a:ext uri="{FF2B5EF4-FFF2-40B4-BE49-F238E27FC236}">
              <a16:creationId xmlns:a16="http://schemas.microsoft.com/office/drawing/2014/main" id="{D2BFFA13-E150-0C1E-B688-B0C77F0E2B5C}"/>
            </a:ext>
          </a:extLst>
        </xdr:cNvPr>
        <xdr:cNvSpPr txBox="1">
          <a:spLocks noChangeArrowheads="1"/>
        </xdr:cNvSpPr>
      </xdr:nvSpPr>
      <xdr:spPr bwMode="auto">
        <a:xfrm>
          <a:off x="496443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802" name="Text Box 882">
          <a:extLst>
            <a:ext uri="{FF2B5EF4-FFF2-40B4-BE49-F238E27FC236}">
              <a16:creationId xmlns:a16="http://schemas.microsoft.com/office/drawing/2014/main" id="{F4C87C1D-ABB7-BBA9-D20B-18319667D610}"/>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1841" name="Text Box 449">
          <a:extLst>
            <a:ext uri="{FF2B5EF4-FFF2-40B4-BE49-F238E27FC236}">
              <a16:creationId xmlns:a16="http://schemas.microsoft.com/office/drawing/2014/main" id="{1084BAEA-D194-2763-5841-BED70AF9CBAF}"/>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42" name="Text Box 452">
          <a:extLst>
            <a:ext uri="{FF2B5EF4-FFF2-40B4-BE49-F238E27FC236}">
              <a16:creationId xmlns:a16="http://schemas.microsoft.com/office/drawing/2014/main" id="{0051A874-662C-2D7C-3F35-802F59637B52}"/>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43" name="Text Box 545">
          <a:extLst>
            <a:ext uri="{FF2B5EF4-FFF2-40B4-BE49-F238E27FC236}">
              <a16:creationId xmlns:a16="http://schemas.microsoft.com/office/drawing/2014/main" id="{B709EB5B-19C6-8265-51B8-11008BF5BE9C}"/>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44" name="Text Box 546">
          <a:extLst>
            <a:ext uri="{FF2B5EF4-FFF2-40B4-BE49-F238E27FC236}">
              <a16:creationId xmlns:a16="http://schemas.microsoft.com/office/drawing/2014/main" id="{DEE23614-9FCD-ACBD-C6C9-156752BC8694}"/>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07" name="Text Box 547">
          <a:extLst>
            <a:ext uri="{FF2B5EF4-FFF2-40B4-BE49-F238E27FC236}">
              <a16:creationId xmlns:a16="http://schemas.microsoft.com/office/drawing/2014/main" id="{BE262A47-F400-9CAD-AC0B-1C7227178E01}"/>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1846" name="Text Box 548">
          <a:extLst>
            <a:ext uri="{FF2B5EF4-FFF2-40B4-BE49-F238E27FC236}">
              <a16:creationId xmlns:a16="http://schemas.microsoft.com/office/drawing/2014/main" id="{572E8EB8-1043-3B44-12A0-865100FDFC4C}"/>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47" name="Text Box 549">
          <a:extLst>
            <a:ext uri="{FF2B5EF4-FFF2-40B4-BE49-F238E27FC236}">
              <a16:creationId xmlns:a16="http://schemas.microsoft.com/office/drawing/2014/main" id="{0816347C-14B7-CA8B-3CA8-906608C51EDE}"/>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0" name="Text Box 550">
          <a:extLst>
            <a:ext uri="{FF2B5EF4-FFF2-40B4-BE49-F238E27FC236}">
              <a16:creationId xmlns:a16="http://schemas.microsoft.com/office/drawing/2014/main" id="{145FCBB8-E614-8CB3-2CC2-9C0E2E3B6B9E}"/>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1905</xdr:colOff>
      <xdr:row>87</xdr:row>
      <xdr:rowOff>0</xdr:rowOff>
    </xdr:from>
    <xdr:to>
      <xdr:col>82</xdr:col>
      <xdr:colOff>1905</xdr:colOff>
      <xdr:row>87</xdr:row>
      <xdr:rowOff>0</xdr:rowOff>
    </xdr:to>
    <xdr:sp macro="" textlink="">
      <xdr:nvSpPr>
        <xdr:cNvPr id="811" name="Text Box 746">
          <a:extLst>
            <a:ext uri="{FF2B5EF4-FFF2-40B4-BE49-F238E27FC236}">
              <a16:creationId xmlns:a16="http://schemas.microsoft.com/office/drawing/2014/main" id="{3F1ED3F5-E2C5-24EC-9F8A-C811B6D91DD8}"/>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1850" name="Text Box 875">
          <a:extLst>
            <a:ext uri="{FF2B5EF4-FFF2-40B4-BE49-F238E27FC236}">
              <a16:creationId xmlns:a16="http://schemas.microsoft.com/office/drawing/2014/main" id="{894CC5CE-48E9-DFDC-5016-1229A9B2BD3E}"/>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51" name="Text Box 876">
          <a:extLst>
            <a:ext uri="{FF2B5EF4-FFF2-40B4-BE49-F238E27FC236}">
              <a16:creationId xmlns:a16="http://schemas.microsoft.com/office/drawing/2014/main" id="{174295F2-2E5F-6E21-3F70-E5405A8087C0}"/>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52" name="Text Box 877">
          <a:extLst>
            <a:ext uri="{FF2B5EF4-FFF2-40B4-BE49-F238E27FC236}">
              <a16:creationId xmlns:a16="http://schemas.microsoft.com/office/drawing/2014/main" id="{E3514AF7-B378-FE33-D8F0-52118EDD4DEB}"/>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53" name="Text Box 878">
          <a:extLst>
            <a:ext uri="{FF2B5EF4-FFF2-40B4-BE49-F238E27FC236}">
              <a16:creationId xmlns:a16="http://schemas.microsoft.com/office/drawing/2014/main" id="{1A92D7FF-E711-B825-A1FC-615E38AD19DF}"/>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16" name="Text Box 879">
          <a:extLst>
            <a:ext uri="{FF2B5EF4-FFF2-40B4-BE49-F238E27FC236}">
              <a16:creationId xmlns:a16="http://schemas.microsoft.com/office/drawing/2014/main" id="{7375E4B0-205F-4BD2-B15C-B05F6147071A}"/>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1855" name="Text Box 880">
          <a:extLst>
            <a:ext uri="{FF2B5EF4-FFF2-40B4-BE49-F238E27FC236}">
              <a16:creationId xmlns:a16="http://schemas.microsoft.com/office/drawing/2014/main" id="{AF1AE353-B452-5A3B-468A-7B5221FA1A7B}"/>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1856" name="Text Box 881">
          <a:extLst>
            <a:ext uri="{FF2B5EF4-FFF2-40B4-BE49-F238E27FC236}">
              <a16:creationId xmlns:a16="http://schemas.microsoft.com/office/drawing/2014/main" id="{66105F28-447A-DD29-7B92-258F742919CA}"/>
            </a:ext>
          </a:extLst>
        </xdr:cNvPr>
        <xdr:cNvSpPr txBox="1">
          <a:spLocks noChangeArrowheads="1"/>
        </xdr:cNvSpPr>
      </xdr:nvSpPr>
      <xdr:spPr bwMode="auto">
        <a:xfrm>
          <a:off x="5478780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9" name="Text Box 882">
          <a:extLst>
            <a:ext uri="{FF2B5EF4-FFF2-40B4-BE49-F238E27FC236}">
              <a16:creationId xmlns:a16="http://schemas.microsoft.com/office/drawing/2014/main" id="{9B12751D-8042-9A4B-B8EA-4AF7F1404FBA}"/>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858" name="Text Box 449">
          <a:extLst>
            <a:ext uri="{FF2B5EF4-FFF2-40B4-BE49-F238E27FC236}">
              <a16:creationId xmlns:a16="http://schemas.microsoft.com/office/drawing/2014/main" id="{570BCDD5-C0E7-1F7B-444B-50E551686CDE}"/>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59" name="Text Box 452">
          <a:extLst>
            <a:ext uri="{FF2B5EF4-FFF2-40B4-BE49-F238E27FC236}">
              <a16:creationId xmlns:a16="http://schemas.microsoft.com/office/drawing/2014/main" id="{F39F31C7-DFC5-5B4E-4FC3-1CFA21C8F465}"/>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60" name="Text Box 545">
          <a:extLst>
            <a:ext uri="{FF2B5EF4-FFF2-40B4-BE49-F238E27FC236}">
              <a16:creationId xmlns:a16="http://schemas.microsoft.com/office/drawing/2014/main" id="{4F24A202-9C9C-93FE-98A0-D411286BB5E0}"/>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61" name="Text Box 546">
          <a:extLst>
            <a:ext uri="{FF2B5EF4-FFF2-40B4-BE49-F238E27FC236}">
              <a16:creationId xmlns:a16="http://schemas.microsoft.com/office/drawing/2014/main" id="{A0D1CE6A-4910-8D03-ED79-98135A2D7795}"/>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24" name="Text Box 547">
          <a:extLst>
            <a:ext uri="{FF2B5EF4-FFF2-40B4-BE49-F238E27FC236}">
              <a16:creationId xmlns:a16="http://schemas.microsoft.com/office/drawing/2014/main" id="{3F82B890-C865-EB71-3B8B-3CE4C6F82992}"/>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863" name="Text Box 548">
          <a:extLst>
            <a:ext uri="{FF2B5EF4-FFF2-40B4-BE49-F238E27FC236}">
              <a16:creationId xmlns:a16="http://schemas.microsoft.com/office/drawing/2014/main" id="{1B1C9580-D4AA-FC8A-B5C4-2CB5AEF3B9D4}"/>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64" name="Text Box 549">
          <a:extLst>
            <a:ext uri="{FF2B5EF4-FFF2-40B4-BE49-F238E27FC236}">
              <a16:creationId xmlns:a16="http://schemas.microsoft.com/office/drawing/2014/main" id="{38475F16-6263-5EBA-2D1E-28C5F1ED149C}"/>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27" name="Text Box 550">
          <a:extLst>
            <a:ext uri="{FF2B5EF4-FFF2-40B4-BE49-F238E27FC236}">
              <a16:creationId xmlns:a16="http://schemas.microsoft.com/office/drawing/2014/main" id="{254A9120-332B-3BF1-E770-F897213739D1}"/>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828" name="Text Box 746">
          <a:extLst>
            <a:ext uri="{FF2B5EF4-FFF2-40B4-BE49-F238E27FC236}">
              <a16:creationId xmlns:a16="http://schemas.microsoft.com/office/drawing/2014/main" id="{3DA91D47-345A-552D-4363-AEB492C688FD}"/>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867" name="Text Box 875">
          <a:extLst>
            <a:ext uri="{FF2B5EF4-FFF2-40B4-BE49-F238E27FC236}">
              <a16:creationId xmlns:a16="http://schemas.microsoft.com/office/drawing/2014/main" id="{8ED8C97C-BF0E-620F-3C94-38BE3176F684}"/>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68" name="Text Box 876">
          <a:extLst>
            <a:ext uri="{FF2B5EF4-FFF2-40B4-BE49-F238E27FC236}">
              <a16:creationId xmlns:a16="http://schemas.microsoft.com/office/drawing/2014/main" id="{585E1974-32C8-C731-6B9E-10B4F9C0056D}"/>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69" name="Text Box 877">
          <a:extLst>
            <a:ext uri="{FF2B5EF4-FFF2-40B4-BE49-F238E27FC236}">
              <a16:creationId xmlns:a16="http://schemas.microsoft.com/office/drawing/2014/main" id="{8B37B5A1-9368-2788-8734-F3C180EA337A}"/>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70" name="Text Box 878">
          <a:extLst>
            <a:ext uri="{FF2B5EF4-FFF2-40B4-BE49-F238E27FC236}">
              <a16:creationId xmlns:a16="http://schemas.microsoft.com/office/drawing/2014/main" id="{6FC57644-5785-CCC3-8FEA-3B66A51111F6}"/>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33" name="Text Box 879">
          <a:extLst>
            <a:ext uri="{FF2B5EF4-FFF2-40B4-BE49-F238E27FC236}">
              <a16:creationId xmlns:a16="http://schemas.microsoft.com/office/drawing/2014/main" id="{6B56BF7A-0481-D980-36B9-24C8C435AA71}"/>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872" name="Text Box 880">
          <a:extLst>
            <a:ext uri="{FF2B5EF4-FFF2-40B4-BE49-F238E27FC236}">
              <a16:creationId xmlns:a16="http://schemas.microsoft.com/office/drawing/2014/main" id="{638E6538-4987-E18E-D981-EA26E303AFDF}"/>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873" name="Text Box 881">
          <a:extLst>
            <a:ext uri="{FF2B5EF4-FFF2-40B4-BE49-F238E27FC236}">
              <a16:creationId xmlns:a16="http://schemas.microsoft.com/office/drawing/2014/main" id="{305213F1-FB88-D7EF-A779-7E0393960680}"/>
            </a:ext>
          </a:extLst>
        </xdr:cNvPr>
        <xdr:cNvSpPr txBox="1">
          <a:spLocks noChangeArrowheads="1"/>
        </xdr:cNvSpPr>
      </xdr:nvSpPr>
      <xdr:spPr bwMode="auto">
        <a:xfrm>
          <a:off x="58948320" y="36804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36" name="Text Box 882">
          <a:extLst>
            <a:ext uri="{FF2B5EF4-FFF2-40B4-BE49-F238E27FC236}">
              <a16:creationId xmlns:a16="http://schemas.microsoft.com/office/drawing/2014/main" id="{BC691BD1-BE37-EA66-B79A-95120747AEA2}"/>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9F00-6839-4407-9BB1-A0F79DB1427B}">
  <sheetPr transitionEvaluation="1" codeName="Sheet2"/>
  <dimension ref="A1:CR89"/>
  <sheetViews>
    <sheetView showGridLines="0" tabSelected="1" zoomScaleNormal="100" zoomScaleSheetLayoutView="100" zoomScalePageLayoutView="110" workbookViewId="0">
      <pane xSplit="1" ySplit="14" topLeftCell="B15" activePane="bottomRight" state="frozen"/>
      <selection pane="topRight" activeCell="B1" sqref="B1"/>
      <selection pane="bottomLeft" activeCell="A15" sqref="A15"/>
      <selection pane="bottomRight" activeCell="A14" sqref="A14"/>
    </sheetView>
  </sheetViews>
  <sheetFormatPr defaultColWidth="9.6640625" defaultRowHeight="13.2" x14ac:dyDescent="0.2"/>
  <cols>
    <col min="1" max="1" width="42.44140625" style="7" customWidth="1"/>
    <col min="2" max="2" width="10.21875" style="8" bestFit="1" customWidth="1"/>
    <col min="3" max="4" width="8.33203125" style="7" bestFit="1" customWidth="1"/>
    <col min="5" max="5" width="7.6640625" style="7" bestFit="1" customWidth="1"/>
    <col min="6" max="6" width="7.88671875" style="7" bestFit="1" customWidth="1"/>
    <col min="7" max="7" width="8.33203125" style="7" bestFit="1" customWidth="1"/>
    <col min="8" max="9" width="9.44140625" style="7" bestFit="1" customWidth="1"/>
    <col min="10" max="10" width="8.44140625" style="8" bestFit="1" customWidth="1"/>
    <col min="11" max="12" width="8.33203125" style="7" bestFit="1" customWidth="1"/>
    <col min="13" max="13" width="10.21875" style="7" bestFit="1" customWidth="1"/>
    <col min="14" max="15" width="9.44140625" style="7" bestFit="1" customWidth="1"/>
    <col min="16" max="16" width="7.6640625" style="7" bestFit="1" customWidth="1"/>
    <col min="17" max="17" width="9.44140625" style="7" bestFit="1" customWidth="1"/>
    <col min="18" max="18" width="9.44140625" style="8" bestFit="1" customWidth="1"/>
    <col min="19" max="20" width="9.44140625" style="7" bestFit="1" customWidth="1"/>
    <col min="21" max="21" width="7.6640625" style="7" bestFit="1" customWidth="1"/>
    <col min="22" max="25" width="9.44140625" style="7" bestFit="1" customWidth="1"/>
    <col min="26" max="26" width="9.44140625" style="8" bestFit="1" customWidth="1"/>
    <col min="27" max="30" width="9.44140625" style="7" bestFit="1" customWidth="1"/>
    <col min="31" max="31" width="9.6640625" style="7" bestFit="1" customWidth="1"/>
    <col min="32" max="33" width="9.44140625" style="7" bestFit="1" customWidth="1"/>
    <col min="34" max="34" width="9.44140625" style="8" bestFit="1" customWidth="1"/>
    <col min="35" max="36" width="9.44140625" style="7" bestFit="1" customWidth="1"/>
    <col min="37" max="37" width="9.44140625" style="7" customWidth="1"/>
    <col min="38" max="38" width="8.109375" style="7" bestFit="1" customWidth="1"/>
    <col min="39" max="39" width="9.44140625" style="7" bestFit="1" customWidth="1"/>
    <col min="40" max="40" width="8.33203125" style="7" bestFit="1" customWidth="1"/>
    <col min="41" max="41" width="7.6640625" style="7" bestFit="1" customWidth="1"/>
    <col min="42" max="42" width="8.33203125" style="7" bestFit="1" customWidth="1"/>
    <col min="43" max="43" width="8.44140625" style="8" bestFit="1" customWidth="1"/>
    <col min="44" max="47" width="8.33203125" style="7" bestFit="1" customWidth="1"/>
    <col min="48" max="48" width="7.6640625" style="7" bestFit="1" customWidth="1"/>
    <col min="49" max="49" width="8.6640625" style="7" customWidth="1"/>
    <col min="50" max="50" width="9.33203125" style="7" bestFit="1" customWidth="1"/>
    <col min="51" max="51" width="8.33203125" style="7" bestFit="1" customWidth="1"/>
    <col min="52" max="52" width="7.109375" style="8" bestFit="1" customWidth="1"/>
    <col min="53" max="53" width="8.33203125" style="7" bestFit="1" customWidth="1"/>
    <col min="54" max="58" width="9.21875" style="7" bestFit="1" customWidth="1"/>
    <col min="59" max="59" width="8.88671875" style="8" bestFit="1" customWidth="1"/>
    <col min="60" max="60" width="9.44140625" style="7" bestFit="1" customWidth="1"/>
    <col min="61" max="62" width="8.33203125" style="7" bestFit="1" customWidth="1"/>
    <col min="63" max="63" width="8.88671875" style="7" bestFit="1" customWidth="1"/>
    <col min="64" max="64" width="13.109375" style="7" bestFit="1" customWidth="1"/>
    <col min="65" max="65" width="11.109375" style="7" bestFit="1" customWidth="1"/>
    <col min="66" max="66" width="12.21875" style="8" bestFit="1" customWidth="1"/>
    <col min="67" max="67" width="10.21875" style="8" bestFit="1" customWidth="1"/>
    <col min="68" max="70" width="9.44140625" style="7" bestFit="1" customWidth="1"/>
    <col min="71" max="71" width="10.21875" style="8" bestFit="1" customWidth="1"/>
    <col min="72" max="73" width="9.44140625" style="7" bestFit="1" customWidth="1"/>
    <col min="74" max="74" width="8.33203125" style="7" bestFit="1" customWidth="1"/>
    <col min="75" max="75" width="8.109375" style="8" bestFit="1" customWidth="1"/>
    <col min="76" max="76" width="9.44140625" style="7" bestFit="1" customWidth="1"/>
    <col min="77" max="77" width="10.21875" style="7" bestFit="1" customWidth="1"/>
    <col min="78" max="80" width="16.21875" style="7" customWidth="1"/>
    <col min="81" max="81" width="7.77734375" style="8" bestFit="1" customWidth="1"/>
    <col min="82" max="82" width="8.33203125" style="7" bestFit="1" customWidth="1"/>
    <col min="83" max="83" width="8.6640625" style="7" bestFit="1" customWidth="1"/>
    <col min="84" max="84" width="9.33203125" style="7" bestFit="1" customWidth="1"/>
    <col min="85" max="86" width="8.33203125" style="7" bestFit="1" customWidth="1"/>
    <col min="87" max="87" width="9.33203125" style="7" bestFit="1" customWidth="1"/>
    <col min="88" max="88" width="8.33203125" style="8" bestFit="1" customWidth="1"/>
    <col min="89" max="89" width="8.33203125" style="7" bestFit="1" customWidth="1"/>
    <col min="90" max="90" width="10.44140625" style="7" bestFit="1" customWidth="1"/>
    <col min="91" max="92" width="8.33203125" style="7" bestFit="1" customWidth="1"/>
    <col min="93" max="93" width="8.44140625" style="7" bestFit="1" customWidth="1"/>
    <col min="94" max="94" width="8" style="7" bestFit="1" customWidth="1"/>
    <col min="95" max="95" width="9" style="7" bestFit="1" customWidth="1"/>
    <col min="96" max="96" width="6.21875" style="7" bestFit="1" customWidth="1"/>
    <col min="97" max="16384" width="9.6640625" style="7"/>
  </cols>
  <sheetData>
    <row r="1" spans="1:96" x14ac:dyDescent="0.25">
      <c r="A1" s="81" t="s">
        <v>311</v>
      </c>
    </row>
    <row r="2" spans="1:96" s="11" customFormat="1" x14ac:dyDescent="0.25">
      <c r="A2" s="75" t="s">
        <v>277</v>
      </c>
      <c r="B2" s="14"/>
      <c r="C2" s="15"/>
      <c r="D2" s="15"/>
      <c r="E2" s="15"/>
      <c r="F2" s="15"/>
      <c r="G2" s="15"/>
      <c r="H2" s="9"/>
      <c r="I2" s="10"/>
      <c r="K2" s="15"/>
      <c r="L2" s="15"/>
      <c r="M2" s="15"/>
      <c r="N2" s="15"/>
      <c r="O2" s="15"/>
      <c r="P2" s="15"/>
      <c r="Q2" s="9"/>
      <c r="S2" s="13"/>
      <c r="T2" s="15"/>
      <c r="U2" s="15"/>
      <c r="V2" s="15"/>
      <c r="W2" s="15"/>
      <c r="X2" s="15"/>
      <c r="Y2" s="9"/>
      <c r="AA2" s="15"/>
      <c r="AB2" s="15"/>
      <c r="AC2" s="13"/>
      <c r="AD2" s="15"/>
      <c r="AE2" s="15"/>
      <c r="AF2" s="15"/>
      <c r="AG2" s="9"/>
      <c r="AI2" s="15"/>
      <c r="AJ2" s="15"/>
      <c r="AK2" s="15"/>
      <c r="AL2" s="15"/>
      <c r="AM2" s="13"/>
      <c r="AN2" s="15"/>
      <c r="AO2" s="15"/>
      <c r="AP2" s="9"/>
      <c r="AR2" s="15"/>
      <c r="AS2" s="15"/>
      <c r="AT2" s="15"/>
      <c r="AU2" s="15"/>
      <c r="AV2" s="15"/>
      <c r="AW2" s="13"/>
      <c r="AX2" s="15"/>
      <c r="AY2" s="9"/>
      <c r="BA2" s="15"/>
      <c r="BB2" s="15"/>
      <c r="BC2" s="15"/>
      <c r="BD2" s="15"/>
      <c r="BE2" s="15"/>
      <c r="BF2" s="9"/>
      <c r="BH2" s="13"/>
      <c r="BI2" s="15"/>
      <c r="BJ2" s="15"/>
      <c r="BK2" s="15"/>
      <c r="BL2" s="15"/>
      <c r="BM2" s="9"/>
      <c r="BO2" s="14"/>
      <c r="BP2" s="15"/>
      <c r="BQ2" s="15"/>
      <c r="BR2" s="15"/>
      <c r="BS2" s="16"/>
      <c r="BT2" s="15"/>
      <c r="BU2" s="9"/>
      <c r="BV2" s="9"/>
      <c r="BX2" s="15"/>
      <c r="BY2" s="15"/>
      <c r="BZ2" s="15"/>
      <c r="CA2" s="15"/>
      <c r="CB2" s="14"/>
      <c r="CD2" s="14"/>
      <c r="CE2" s="14"/>
      <c r="CF2" s="14"/>
      <c r="CG2" s="14"/>
      <c r="CH2" s="14"/>
      <c r="CK2" s="14"/>
      <c r="CL2" s="14"/>
      <c r="CM2" s="14"/>
      <c r="CN2" s="14"/>
      <c r="CO2" s="14"/>
      <c r="CP2" s="14"/>
    </row>
    <row r="3" spans="1:96" s="11" customFormat="1" x14ac:dyDescent="0.25">
      <c r="A3" s="75" t="s">
        <v>303</v>
      </c>
      <c r="B3" s="14"/>
      <c r="C3" s="15"/>
      <c r="D3" s="15"/>
      <c r="E3" s="15"/>
      <c r="F3" s="15"/>
      <c r="G3" s="15"/>
      <c r="H3" s="9"/>
      <c r="I3" s="10"/>
      <c r="K3" s="15"/>
      <c r="L3" s="15"/>
      <c r="M3" s="15"/>
      <c r="N3" s="15"/>
      <c r="O3" s="15"/>
      <c r="P3" s="15"/>
      <c r="Q3" s="9"/>
      <c r="S3" s="13"/>
      <c r="T3" s="15"/>
      <c r="U3" s="15"/>
      <c r="V3" s="15"/>
      <c r="W3" s="15"/>
      <c r="X3" s="15"/>
      <c r="Y3" s="9"/>
      <c r="AA3" s="15"/>
      <c r="AB3" s="15"/>
      <c r="AC3" s="13"/>
      <c r="AD3" s="15"/>
      <c r="AE3" s="15"/>
      <c r="AF3" s="15"/>
      <c r="AG3" s="9"/>
      <c r="AI3" s="15"/>
      <c r="AJ3" s="15"/>
      <c r="AK3" s="15"/>
      <c r="AL3" s="15"/>
      <c r="AM3" s="13"/>
      <c r="AN3" s="15"/>
      <c r="AO3" s="15"/>
      <c r="AP3" s="9"/>
      <c r="AR3" s="15"/>
      <c r="AS3" s="15"/>
      <c r="AT3" s="15"/>
      <c r="AU3" s="15"/>
      <c r="AV3" s="15"/>
      <c r="AW3" s="13"/>
      <c r="AX3" s="15"/>
      <c r="AY3" s="9"/>
      <c r="BA3" s="15"/>
      <c r="BB3" s="15"/>
      <c r="BC3" s="15"/>
      <c r="BD3" s="15"/>
      <c r="BE3" s="15"/>
      <c r="BF3" s="9"/>
      <c r="BH3" s="13"/>
      <c r="BI3" s="15"/>
      <c r="BJ3" s="15"/>
      <c r="BK3" s="15"/>
      <c r="BL3" s="15"/>
      <c r="BM3" s="9"/>
      <c r="BO3" s="14"/>
      <c r="BP3" s="15"/>
      <c r="BQ3" s="15"/>
      <c r="BR3" s="15"/>
      <c r="BS3" s="16"/>
      <c r="BT3" s="15"/>
      <c r="BU3" s="9"/>
      <c r="BV3" s="9"/>
      <c r="BX3" s="15"/>
      <c r="BY3" s="15"/>
      <c r="BZ3" s="15"/>
      <c r="CA3" s="15"/>
      <c r="CB3" s="14"/>
      <c r="CD3" s="14"/>
      <c r="CE3" s="14"/>
      <c r="CF3" s="14"/>
      <c r="CG3" s="14"/>
      <c r="CH3" s="14"/>
      <c r="CK3" s="14"/>
      <c r="CL3" s="14"/>
      <c r="CM3" s="14"/>
      <c r="CN3" s="14"/>
      <c r="CO3" s="14"/>
      <c r="CP3" s="14"/>
    </row>
    <row r="4" spans="1:96" s="12" customFormat="1" ht="10.199999999999999" x14ac:dyDescent="0.2">
      <c r="A4" s="76" t="s">
        <v>38</v>
      </c>
      <c r="I4" s="17"/>
      <c r="S4" s="17"/>
      <c r="AC4" s="17"/>
      <c r="AM4" s="17"/>
      <c r="AW4" s="17"/>
      <c r="BH4" s="17"/>
      <c r="BS4" s="17"/>
    </row>
    <row r="5" spans="1:96" s="2" customFormat="1" ht="0.75" customHeight="1" thickBot="1" x14ac:dyDescent="0.25">
      <c r="A5" s="1"/>
      <c r="I5" s="1"/>
      <c r="S5" s="1"/>
      <c r="AC5" s="1"/>
      <c r="AM5" s="1"/>
      <c r="AU5" s="3"/>
      <c r="AW5" s="1"/>
      <c r="BH5" s="1"/>
      <c r="BO5" s="4"/>
      <c r="BS5" s="1"/>
      <c r="BU5" s="3"/>
    </row>
    <row r="6" spans="1:96" s="25" customFormat="1" ht="10.8" thickTop="1" x14ac:dyDescent="0.2">
      <c r="A6" s="18"/>
      <c r="B6" s="19"/>
      <c r="C6" s="82" t="s">
        <v>25</v>
      </c>
      <c r="D6" s="83"/>
      <c r="E6" s="83"/>
      <c r="F6" s="84"/>
      <c r="G6" s="20"/>
      <c r="H6" s="21"/>
      <c r="I6" s="85" t="s">
        <v>40</v>
      </c>
      <c r="J6" s="86"/>
      <c r="K6" s="86"/>
      <c r="L6" s="87"/>
      <c r="M6" s="85" t="s">
        <v>10</v>
      </c>
      <c r="N6" s="86"/>
      <c r="O6" s="86"/>
      <c r="P6" s="86"/>
      <c r="Q6" s="86"/>
      <c r="R6" s="86"/>
      <c r="S6" s="86"/>
      <c r="T6" s="86"/>
      <c r="U6" s="86"/>
      <c r="V6" s="86"/>
      <c r="W6" s="86"/>
      <c r="X6" s="86"/>
      <c r="Y6" s="86"/>
      <c r="Z6" s="86"/>
      <c r="AA6" s="86"/>
      <c r="AB6" s="86"/>
      <c r="AC6" s="86"/>
      <c r="AD6" s="86"/>
      <c r="AE6" s="86"/>
      <c r="AF6" s="86"/>
      <c r="AG6" s="87"/>
      <c r="AH6" s="22"/>
      <c r="AI6" s="85" t="s">
        <v>304</v>
      </c>
      <c r="AJ6" s="86"/>
      <c r="AK6" s="86"/>
      <c r="AL6" s="86"/>
      <c r="AM6" s="86"/>
      <c r="AN6" s="86"/>
      <c r="AO6" s="86"/>
      <c r="AP6" s="86"/>
      <c r="AQ6" s="86"/>
      <c r="AR6" s="86"/>
      <c r="AS6" s="86"/>
      <c r="AT6" s="86"/>
      <c r="AU6" s="86"/>
      <c r="AV6" s="86"/>
      <c r="AW6" s="86"/>
      <c r="AX6" s="86"/>
      <c r="AY6" s="86"/>
      <c r="AZ6" s="87"/>
      <c r="BA6" s="85" t="s">
        <v>22</v>
      </c>
      <c r="BB6" s="93"/>
      <c r="BC6" s="93"/>
      <c r="BD6" s="93"/>
      <c r="BE6" s="93"/>
      <c r="BF6" s="93"/>
      <c r="BG6" s="93"/>
      <c r="BH6" s="85" t="s">
        <v>285</v>
      </c>
      <c r="BI6" s="93"/>
      <c r="BJ6" s="93"/>
      <c r="BK6" s="93"/>
      <c r="BL6" s="93"/>
      <c r="BM6" s="93"/>
      <c r="BN6" s="93"/>
      <c r="BO6" s="85" t="s">
        <v>21</v>
      </c>
      <c r="BP6" s="86"/>
      <c r="BQ6" s="86"/>
      <c r="BR6" s="86"/>
      <c r="BS6" s="87"/>
      <c r="BT6" s="85" t="s">
        <v>20</v>
      </c>
      <c r="BU6" s="86"/>
      <c r="BV6" s="86"/>
      <c r="BW6" s="86"/>
      <c r="BX6" s="23"/>
      <c r="BY6" s="22"/>
      <c r="BZ6" s="94" t="s">
        <v>256</v>
      </c>
      <c r="CA6" s="95"/>
      <c r="CB6" s="96"/>
      <c r="CC6" s="24"/>
      <c r="CD6" s="82" t="s">
        <v>19</v>
      </c>
      <c r="CE6" s="83"/>
      <c r="CF6" s="83"/>
      <c r="CG6" s="84"/>
      <c r="CH6" s="82" t="s">
        <v>201</v>
      </c>
      <c r="CI6" s="83"/>
      <c r="CJ6" s="83"/>
      <c r="CK6" s="82" t="s">
        <v>69</v>
      </c>
      <c r="CL6" s="83"/>
      <c r="CM6" s="84"/>
      <c r="CN6" s="82" t="s">
        <v>200</v>
      </c>
      <c r="CO6" s="83"/>
      <c r="CP6" s="83"/>
      <c r="CQ6" s="84"/>
      <c r="CR6" s="24"/>
    </row>
    <row r="7" spans="1:96" s="25" customFormat="1" ht="10.199999999999999" x14ac:dyDescent="0.2">
      <c r="A7" s="18"/>
      <c r="B7" s="27"/>
      <c r="D7" s="21"/>
      <c r="E7" s="28"/>
      <c r="F7" s="28"/>
      <c r="G7" s="20"/>
      <c r="H7" s="29"/>
      <c r="I7" s="27"/>
      <c r="J7" s="18"/>
      <c r="K7" s="30"/>
      <c r="L7" s="30"/>
      <c r="M7" s="27"/>
      <c r="N7" s="30"/>
      <c r="O7" s="30"/>
      <c r="P7" s="30"/>
      <c r="Q7" s="18"/>
      <c r="R7" s="31"/>
      <c r="S7" s="30"/>
      <c r="T7" s="30"/>
      <c r="U7" s="30"/>
      <c r="V7" s="30"/>
      <c r="W7" s="30"/>
      <c r="X7" s="30"/>
      <c r="Y7" s="31"/>
      <c r="Z7" s="32"/>
      <c r="AA7" s="30"/>
      <c r="AB7" s="30"/>
      <c r="AC7" s="30"/>
      <c r="AD7" s="30"/>
      <c r="AE7" s="30"/>
      <c r="AF7" s="30"/>
      <c r="AG7" s="31"/>
      <c r="AH7" s="33"/>
      <c r="AI7" s="88" t="s">
        <v>24</v>
      </c>
      <c r="AJ7" s="91"/>
      <c r="AK7" s="91"/>
      <c r="AL7" s="92"/>
      <c r="AM7" s="88" t="s">
        <v>23</v>
      </c>
      <c r="AN7" s="89"/>
      <c r="AO7" s="89"/>
      <c r="AP7" s="89"/>
      <c r="AQ7" s="89"/>
      <c r="AR7" s="89"/>
      <c r="AS7" s="89"/>
      <c r="AT7" s="89"/>
      <c r="AU7" s="89"/>
      <c r="AV7" s="89"/>
      <c r="AW7" s="89"/>
      <c r="AX7" s="89"/>
      <c r="AY7" s="90"/>
      <c r="AZ7" s="31"/>
      <c r="BA7" s="30"/>
      <c r="BB7" s="30"/>
      <c r="BC7" s="34"/>
      <c r="BD7" s="30"/>
      <c r="BE7" s="30"/>
      <c r="BF7" s="30"/>
      <c r="BG7" s="31"/>
      <c r="BH7" s="27"/>
      <c r="BI7" s="35"/>
      <c r="BJ7" s="27"/>
      <c r="BK7" s="36"/>
      <c r="BM7" s="37"/>
      <c r="BN7" s="35"/>
      <c r="BO7" s="31"/>
      <c r="BP7" s="30"/>
      <c r="BQ7" s="37" t="s">
        <v>58</v>
      </c>
      <c r="BR7" s="30"/>
      <c r="BS7" s="31"/>
      <c r="BT7" s="30"/>
      <c r="BU7" s="30"/>
      <c r="BV7" s="30"/>
      <c r="BW7" s="38" t="s">
        <v>128</v>
      </c>
      <c r="BX7" s="27"/>
      <c r="BY7" s="35"/>
      <c r="BZ7" s="39"/>
      <c r="CA7" s="39"/>
      <c r="CB7" s="39"/>
      <c r="CC7" s="33"/>
      <c r="CD7" s="34"/>
      <c r="CE7" s="34"/>
      <c r="CF7" s="34"/>
      <c r="CG7" s="34"/>
      <c r="CH7" s="34"/>
      <c r="CI7" s="34"/>
      <c r="CJ7" s="32"/>
      <c r="CK7" s="34"/>
      <c r="CL7" s="34"/>
      <c r="CM7" s="34"/>
      <c r="CN7" s="34"/>
      <c r="CO7" s="34"/>
      <c r="CP7" s="34"/>
      <c r="CQ7" s="34"/>
      <c r="CR7" s="33"/>
    </row>
    <row r="8" spans="1:96" s="25" customFormat="1" ht="10.199999999999999" x14ac:dyDescent="0.2">
      <c r="A8" s="18"/>
      <c r="B8" s="40"/>
      <c r="C8" s="41"/>
      <c r="D8" s="40"/>
      <c r="E8" s="40"/>
      <c r="F8" s="40"/>
      <c r="G8" s="40"/>
      <c r="H8" s="41"/>
      <c r="I8" s="40"/>
      <c r="J8" s="26"/>
      <c r="K8" s="40" t="s">
        <v>262</v>
      </c>
      <c r="L8" s="40"/>
      <c r="M8" s="40"/>
      <c r="N8" s="40"/>
      <c r="O8" s="40"/>
      <c r="P8" s="40"/>
      <c r="Q8" s="26"/>
      <c r="R8" s="38"/>
      <c r="S8" s="40"/>
      <c r="T8" s="40"/>
      <c r="U8" s="40"/>
      <c r="V8" s="40"/>
      <c r="W8" s="40"/>
      <c r="X8" s="40"/>
      <c r="Y8" s="38"/>
      <c r="Z8" s="38"/>
      <c r="AA8" s="40"/>
      <c r="AB8" s="40"/>
      <c r="AC8" s="40"/>
      <c r="AD8" s="40" t="s">
        <v>17</v>
      </c>
      <c r="AE8" s="40"/>
      <c r="AF8" s="40"/>
      <c r="AG8" s="38"/>
      <c r="AH8" s="33"/>
      <c r="AI8" s="40"/>
      <c r="AJ8" s="40"/>
      <c r="AK8" s="40"/>
      <c r="AL8" s="37"/>
      <c r="AM8" s="40"/>
      <c r="AN8" s="40"/>
      <c r="AO8" s="40"/>
      <c r="AP8" s="40"/>
      <c r="AQ8" s="38" t="s">
        <v>41</v>
      </c>
      <c r="AR8" s="40"/>
      <c r="AS8" s="40"/>
      <c r="AT8" s="40"/>
      <c r="AU8" s="40"/>
      <c r="AV8" s="40" t="s">
        <v>57</v>
      </c>
      <c r="AW8" s="40"/>
      <c r="AX8" s="40"/>
      <c r="AY8" s="40"/>
      <c r="AZ8" s="38"/>
      <c r="BA8" s="40"/>
      <c r="BB8" s="40"/>
      <c r="BC8" s="40"/>
      <c r="BD8" s="40"/>
      <c r="BE8" s="40"/>
      <c r="BF8" s="40"/>
      <c r="BG8" s="38"/>
      <c r="BH8" s="40"/>
      <c r="BI8" s="38"/>
      <c r="BJ8" s="40"/>
      <c r="BK8" s="40"/>
      <c r="BM8" s="37"/>
      <c r="BN8" s="38" t="s">
        <v>297</v>
      </c>
      <c r="BO8" s="38"/>
      <c r="BP8" s="40"/>
      <c r="BQ8" s="40" t="s">
        <v>83</v>
      </c>
      <c r="BR8" s="40"/>
      <c r="BS8" s="38"/>
      <c r="BT8" s="40"/>
      <c r="BU8" s="40"/>
      <c r="BV8" s="40"/>
      <c r="BW8" s="38" t="s">
        <v>91</v>
      </c>
      <c r="BX8" s="40"/>
      <c r="BY8" s="38"/>
      <c r="BZ8" s="38"/>
      <c r="CA8" s="40"/>
      <c r="CB8" s="38"/>
      <c r="CC8" s="38"/>
      <c r="CD8" s="40"/>
      <c r="CE8" s="40" t="s">
        <v>60</v>
      </c>
      <c r="CF8" s="40"/>
      <c r="CG8" s="40"/>
      <c r="CH8" s="40"/>
      <c r="CI8" s="40"/>
      <c r="CJ8" s="38"/>
      <c r="CK8" s="40"/>
      <c r="CL8" s="40"/>
      <c r="CM8" s="40"/>
      <c r="CN8" s="40"/>
      <c r="CO8" s="40"/>
      <c r="CP8" s="40"/>
      <c r="CQ8" s="40" t="s">
        <v>61</v>
      </c>
      <c r="CR8" s="38"/>
    </row>
    <row r="9" spans="1:96" s="25" customFormat="1" ht="10.199999999999999" x14ac:dyDescent="0.2">
      <c r="A9" s="18" t="s">
        <v>13</v>
      </c>
      <c r="B9" s="40"/>
      <c r="C9" s="41"/>
      <c r="D9" s="40"/>
      <c r="E9" s="40"/>
      <c r="F9" s="40" t="s">
        <v>52</v>
      </c>
      <c r="G9" s="40"/>
      <c r="H9" s="41"/>
      <c r="I9" s="40"/>
      <c r="J9" s="26"/>
      <c r="K9" s="40" t="s">
        <v>263</v>
      </c>
      <c r="L9" s="40"/>
      <c r="M9" s="40"/>
      <c r="N9" s="40"/>
      <c r="O9" s="40" t="s">
        <v>120</v>
      </c>
      <c r="P9" s="40" t="s">
        <v>46</v>
      </c>
      <c r="Q9" s="26"/>
      <c r="R9" s="38" t="s">
        <v>121</v>
      </c>
      <c r="S9" s="40"/>
      <c r="T9" s="40"/>
      <c r="U9" s="40"/>
      <c r="V9" s="40"/>
      <c r="W9" s="40"/>
      <c r="X9" s="40" t="s">
        <v>122</v>
      </c>
      <c r="Y9" s="38"/>
      <c r="Z9" s="38"/>
      <c r="AA9" s="40"/>
      <c r="AB9" s="40"/>
      <c r="AC9" s="40" t="s">
        <v>123</v>
      </c>
      <c r="AD9" s="40" t="s">
        <v>169</v>
      </c>
      <c r="AE9" s="40"/>
      <c r="AF9" s="26"/>
      <c r="AG9" s="38"/>
      <c r="AH9" s="42"/>
      <c r="AI9" s="40"/>
      <c r="AJ9" s="40"/>
      <c r="AK9" s="40"/>
      <c r="AL9" s="43" t="s">
        <v>266</v>
      </c>
      <c r="AM9" s="40"/>
      <c r="AN9" s="40" t="s">
        <v>62</v>
      </c>
      <c r="AO9" s="40"/>
      <c r="AP9" s="40"/>
      <c r="AQ9" s="38" t="s">
        <v>181</v>
      </c>
      <c r="AR9" s="40"/>
      <c r="AS9" s="40"/>
      <c r="AT9" s="40"/>
      <c r="AU9" s="40" t="s">
        <v>63</v>
      </c>
      <c r="AV9" s="40" t="s">
        <v>190</v>
      </c>
      <c r="AW9" s="40"/>
      <c r="AX9" s="40"/>
      <c r="AY9" s="40"/>
      <c r="AZ9" s="38"/>
      <c r="BA9" s="40"/>
      <c r="BB9" s="40"/>
      <c r="BC9" s="40"/>
      <c r="BD9" s="40"/>
      <c r="BE9" s="40"/>
      <c r="BF9" s="26"/>
      <c r="BG9" s="38"/>
      <c r="BH9" s="40"/>
      <c r="BI9" s="38"/>
      <c r="BJ9" s="40" t="s">
        <v>64</v>
      </c>
      <c r="BK9" s="40"/>
      <c r="BL9" s="37" t="s">
        <v>272</v>
      </c>
      <c r="BM9" s="37"/>
      <c r="BN9" s="38" t="s">
        <v>294</v>
      </c>
      <c r="BO9" s="38"/>
      <c r="BP9" s="40"/>
      <c r="BQ9" s="40" t="s">
        <v>84</v>
      </c>
      <c r="BR9" s="40" t="s">
        <v>45</v>
      </c>
      <c r="BS9" s="38" t="s">
        <v>6</v>
      </c>
      <c r="BT9" s="40"/>
      <c r="BU9" s="40"/>
      <c r="BV9" s="40"/>
      <c r="BW9" s="38" t="s">
        <v>92</v>
      </c>
      <c r="BX9" s="40" t="s">
        <v>65</v>
      </c>
      <c r="BY9" s="38" t="s">
        <v>66</v>
      </c>
      <c r="BZ9" s="38"/>
      <c r="CA9" s="40"/>
      <c r="CB9" s="38" t="s">
        <v>67</v>
      </c>
      <c r="CC9" s="38"/>
      <c r="CD9" s="40"/>
      <c r="CE9" s="40" t="s">
        <v>102</v>
      </c>
      <c r="CF9" s="40" t="s">
        <v>12</v>
      </c>
      <c r="CG9" s="40" t="s">
        <v>68</v>
      </c>
      <c r="CH9" s="40"/>
      <c r="CI9" s="40"/>
      <c r="CJ9" s="38" t="s">
        <v>118</v>
      </c>
      <c r="CK9" s="40"/>
      <c r="CL9" s="40"/>
      <c r="CM9" s="40" t="s">
        <v>119</v>
      </c>
      <c r="CN9" s="40"/>
      <c r="CO9" s="40"/>
      <c r="CP9" s="40"/>
      <c r="CQ9" s="40" t="s">
        <v>196</v>
      </c>
      <c r="CR9" s="38"/>
    </row>
    <row r="10" spans="1:96" s="25" customFormat="1" ht="10.199999999999999" x14ac:dyDescent="0.2">
      <c r="A10" s="18"/>
      <c r="B10" s="40"/>
      <c r="C10" s="41"/>
      <c r="D10" s="40"/>
      <c r="E10" s="40"/>
      <c r="F10" s="40" t="s">
        <v>163</v>
      </c>
      <c r="G10" s="40"/>
      <c r="H10" s="41"/>
      <c r="I10" s="40"/>
      <c r="J10" s="26"/>
      <c r="K10" s="40" t="s">
        <v>264</v>
      </c>
      <c r="L10" s="40"/>
      <c r="M10" s="40"/>
      <c r="N10" s="40"/>
      <c r="O10" s="40" t="s">
        <v>48</v>
      </c>
      <c r="P10" s="40" t="s">
        <v>158</v>
      </c>
      <c r="Q10" s="26"/>
      <c r="R10" s="38" t="s">
        <v>56</v>
      </c>
      <c r="S10" s="40"/>
      <c r="T10" s="40"/>
      <c r="U10" s="40" t="s">
        <v>146</v>
      </c>
      <c r="V10" s="40" t="s">
        <v>16</v>
      </c>
      <c r="W10" s="40"/>
      <c r="X10" s="40" t="s">
        <v>48</v>
      </c>
      <c r="Y10" s="38" t="s">
        <v>15</v>
      </c>
      <c r="Z10" s="38"/>
      <c r="AA10" s="40" t="s">
        <v>134</v>
      </c>
      <c r="AB10" s="40"/>
      <c r="AC10" s="40" t="s">
        <v>56</v>
      </c>
      <c r="AD10" s="40" t="s">
        <v>170</v>
      </c>
      <c r="AE10" s="40"/>
      <c r="AF10" s="40" t="s">
        <v>42</v>
      </c>
      <c r="AG10" s="38"/>
      <c r="AH10" s="42" t="s">
        <v>43</v>
      </c>
      <c r="AI10" s="40"/>
      <c r="AJ10" s="40"/>
      <c r="AK10" s="40"/>
      <c r="AL10" s="43" t="s">
        <v>267</v>
      </c>
      <c r="AM10" s="40"/>
      <c r="AN10" s="40" t="s">
        <v>174</v>
      </c>
      <c r="AO10" s="40" t="s">
        <v>42</v>
      </c>
      <c r="AP10" s="40" t="s">
        <v>124</v>
      </c>
      <c r="AQ10" s="38" t="s">
        <v>182</v>
      </c>
      <c r="AR10" s="40" t="s">
        <v>26</v>
      </c>
      <c r="AS10" s="40" t="s">
        <v>125</v>
      </c>
      <c r="AT10" s="40"/>
      <c r="AU10" s="40" t="s">
        <v>48</v>
      </c>
      <c r="AV10" s="40" t="s">
        <v>191</v>
      </c>
      <c r="AW10" s="40"/>
      <c r="AX10" s="40"/>
      <c r="AY10" s="40"/>
      <c r="AZ10" s="38" t="s">
        <v>43</v>
      </c>
      <c r="BA10" s="40"/>
      <c r="BB10" s="40"/>
      <c r="BC10" s="40"/>
      <c r="BD10" s="40" t="s">
        <v>138</v>
      </c>
      <c r="BE10" s="40"/>
      <c r="BF10" s="40" t="s">
        <v>50</v>
      </c>
      <c r="BG10" s="38"/>
      <c r="BH10" s="40"/>
      <c r="BI10" s="38" t="s">
        <v>141</v>
      </c>
      <c r="BJ10" s="40" t="s">
        <v>79</v>
      </c>
      <c r="BK10" s="40"/>
      <c r="BL10" s="37" t="s">
        <v>3</v>
      </c>
      <c r="BM10" s="37" t="s">
        <v>292</v>
      </c>
      <c r="BN10" s="38" t="s">
        <v>295</v>
      </c>
      <c r="BO10" s="38"/>
      <c r="BP10" s="40"/>
      <c r="BQ10" s="40" t="s">
        <v>4</v>
      </c>
      <c r="BR10" s="40" t="s">
        <v>87</v>
      </c>
      <c r="BS10" s="38" t="s">
        <v>7</v>
      </c>
      <c r="BT10" s="40"/>
      <c r="BU10" s="40"/>
      <c r="BV10" s="40" t="s">
        <v>127</v>
      </c>
      <c r="BW10" s="38" t="s">
        <v>93</v>
      </c>
      <c r="BX10" s="40" t="s">
        <v>94</v>
      </c>
      <c r="BY10" s="38" t="s">
        <v>129</v>
      </c>
      <c r="BZ10" s="38"/>
      <c r="CA10" s="40"/>
      <c r="CB10" s="38" t="s">
        <v>100</v>
      </c>
      <c r="CC10" s="38"/>
      <c r="CD10" s="40"/>
      <c r="CE10" s="40" t="s">
        <v>103</v>
      </c>
      <c r="CF10" s="40" t="s">
        <v>102</v>
      </c>
      <c r="CG10" s="40" t="s">
        <v>109</v>
      </c>
      <c r="CH10" s="40"/>
      <c r="CI10" s="40" t="s">
        <v>112</v>
      </c>
      <c r="CJ10" s="38" t="s">
        <v>115</v>
      </c>
      <c r="CK10" s="40"/>
      <c r="CL10" s="40"/>
      <c r="CM10" s="40" t="s">
        <v>82</v>
      </c>
      <c r="CN10" s="40"/>
      <c r="CO10" s="40"/>
      <c r="CP10" s="40"/>
      <c r="CQ10" s="40" t="s">
        <v>197</v>
      </c>
      <c r="CR10" s="38"/>
    </row>
    <row r="11" spans="1:96" s="25" customFormat="1" ht="10.199999999999999" x14ac:dyDescent="0.2">
      <c r="A11" s="18" t="s">
        <v>51</v>
      </c>
      <c r="B11" s="40" t="s">
        <v>14</v>
      </c>
      <c r="C11" s="41" t="s">
        <v>147</v>
      </c>
      <c r="D11" s="40" t="s">
        <v>53</v>
      </c>
      <c r="E11" s="40" t="s">
        <v>54</v>
      </c>
      <c r="F11" s="40" t="s">
        <v>28</v>
      </c>
      <c r="G11" s="40" t="s">
        <v>39</v>
      </c>
      <c r="H11" s="41" t="s">
        <v>55</v>
      </c>
      <c r="I11" s="40" t="s">
        <v>147</v>
      </c>
      <c r="J11" s="26" t="s">
        <v>40</v>
      </c>
      <c r="K11" s="40" t="s">
        <v>153</v>
      </c>
      <c r="L11" s="40" t="s">
        <v>265</v>
      </c>
      <c r="M11" s="40" t="s">
        <v>147</v>
      </c>
      <c r="N11" s="40" t="s">
        <v>119</v>
      </c>
      <c r="O11" s="40" t="s">
        <v>156</v>
      </c>
      <c r="P11" s="40" t="s">
        <v>159</v>
      </c>
      <c r="Q11" s="26" t="s">
        <v>130</v>
      </c>
      <c r="R11" s="38" t="s">
        <v>161</v>
      </c>
      <c r="S11" s="40" t="s">
        <v>131</v>
      </c>
      <c r="T11" s="40" t="s">
        <v>132</v>
      </c>
      <c r="U11" s="40" t="s">
        <v>9</v>
      </c>
      <c r="V11" s="40" t="s">
        <v>164</v>
      </c>
      <c r="W11" s="40" t="s">
        <v>133</v>
      </c>
      <c r="X11" s="40" t="s">
        <v>165</v>
      </c>
      <c r="Y11" s="38" t="s">
        <v>166</v>
      </c>
      <c r="Z11" s="38" t="s">
        <v>47</v>
      </c>
      <c r="AA11" s="40" t="s">
        <v>167</v>
      </c>
      <c r="AB11" s="40" t="s">
        <v>135</v>
      </c>
      <c r="AC11" s="40" t="s">
        <v>168</v>
      </c>
      <c r="AD11" s="40" t="s">
        <v>48</v>
      </c>
      <c r="AE11" s="40" t="s">
        <v>18</v>
      </c>
      <c r="AF11" s="40" t="s">
        <v>9</v>
      </c>
      <c r="AG11" s="38" t="s">
        <v>12</v>
      </c>
      <c r="AH11" s="42" t="s">
        <v>56</v>
      </c>
      <c r="AI11" s="40" t="s">
        <v>147</v>
      </c>
      <c r="AJ11" s="40" t="s">
        <v>258</v>
      </c>
      <c r="AK11" s="40" t="s">
        <v>259</v>
      </c>
      <c r="AL11" s="44" t="s">
        <v>56</v>
      </c>
      <c r="AM11" s="40" t="s">
        <v>147</v>
      </c>
      <c r="AN11" s="40" t="s">
        <v>175</v>
      </c>
      <c r="AO11" s="40" t="s">
        <v>177</v>
      </c>
      <c r="AP11" s="40" t="s">
        <v>48</v>
      </c>
      <c r="AQ11" s="38" t="s">
        <v>171</v>
      </c>
      <c r="AR11" s="40" t="s">
        <v>184</v>
      </c>
      <c r="AS11" s="40" t="s">
        <v>185</v>
      </c>
      <c r="AT11" s="40" t="s">
        <v>136</v>
      </c>
      <c r="AU11" s="40" t="s">
        <v>188</v>
      </c>
      <c r="AV11" s="40" t="s">
        <v>192</v>
      </c>
      <c r="AW11" s="40" t="s">
        <v>11</v>
      </c>
      <c r="AX11" s="40" t="s">
        <v>12</v>
      </c>
      <c r="AY11" s="40" t="s">
        <v>137</v>
      </c>
      <c r="AZ11" s="38" t="s">
        <v>1</v>
      </c>
      <c r="BA11" s="40" t="s">
        <v>147</v>
      </c>
      <c r="BB11" s="40" t="s">
        <v>74</v>
      </c>
      <c r="BC11" s="40" t="s">
        <v>29</v>
      </c>
      <c r="BD11" s="40" t="s">
        <v>76</v>
      </c>
      <c r="BE11" s="40" t="s">
        <v>139</v>
      </c>
      <c r="BF11" s="40" t="s">
        <v>27</v>
      </c>
      <c r="BG11" s="38" t="s">
        <v>140</v>
      </c>
      <c r="BH11" s="40" t="s">
        <v>147</v>
      </c>
      <c r="BI11" s="38" t="s">
        <v>148</v>
      </c>
      <c r="BJ11" s="40" t="s">
        <v>80</v>
      </c>
      <c r="BK11" s="26" t="s">
        <v>126</v>
      </c>
      <c r="BL11" s="37" t="s">
        <v>289</v>
      </c>
      <c r="BM11" s="43" t="s">
        <v>293</v>
      </c>
      <c r="BN11" s="38" t="s">
        <v>296</v>
      </c>
      <c r="BO11" s="38" t="s">
        <v>147</v>
      </c>
      <c r="BP11" s="40" t="s">
        <v>44</v>
      </c>
      <c r="BQ11" s="40" t="s">
        <v>5</v>
      </c>
      <c r="BR11" s="40" t="s">
        <v>56</v>
      </c>
      <c r="BS11" s="38" t="s">
        <v>85</v>
      </c>
      <c r="BT11" s="40" t="s">
        <v>147</v>
      </c>
      <c r="BU11" s="40" t="s">
        <v>89</v>
      </c>
      <c r="BV11" s="40" t="s">
        <v>56</v>
      </c>
      <c r="BW11" s="25" t="s">
        <v>2</v>
      </c>
      <c r="BX11" s="40" t="s">
        <v>48</v>
      </c>
      <c r="BY11" s="38" t="s">
        <v>96</v>
      </c>
      <c r="BZ11" s="38" t="s">
        <v>147</v>
      </c>
      <c r="CA11" s="40" t="s">
        <v>59</v>
      </c>
      <c r="CB11" s="38" t="s">
        <v>48</v>
      </c>
      <c r="CC11" s="38" t="s">
        <v>142</v>
      </c>
      <c r="CD11" s="40" t="s">
        <v>147</v>
      </c>
      <c r="CE11" s="40" t="s">
        <v>56</v>
      </c>
      <c r="CF11" s="40" t="s">
        <v>106</v>
      </c>
      <c r="CG11" s="40" t="s">
        <v>110</v>
      </c>
      <c r="CH11" s="40" t="s">
        <v>147</v>
      </c>
      <c r="CI11" s="40" t="s">
        <v>113</v>
      </c>
      <c r="CJ11" s="38" t="s">
        <v>48</v>
      </c>
      <c r="CK11" s="40" t="s">
        <v>147</v>
      </c>
      <c r="CL11" s="40" t="s">
        <v>143</v>
      </c>
      <c r="CM11" s="40" t="s">
        <v>56</v>
      </c>
      <c r="CN11" s="40" t="s">
        <v>147</v>
      </c>
      <c r="CO11" s="40" t="s">
        <v>144</v>
      </c>
      <c r="CP11" s="40" t="s">
        <v>49</v>
      </c>
      <c r="CQ11" s="40" t="s">
        <v>198</v>
      </c>
      <c r="CR11" s="38" t="s">
        <v>145</v>
      </c>
    </row>
    <row r="12" spans="1:96" s="25" customFormat="1" ht="10.199999999999999" x14ac:dyDescent="0.2">
      <c r="A12" s="18"/>
      <c r="B12" s="40" t="s">
        <v>148</v>
      </c>
      <c r="C12" s="41"/>
      <c r="D12" s="40" t="s">
        <v>149</v>
      </c>
      <c r="E12" s="40" t="s">
        <v>56</v>
      </c>
      <c r="F12" s="40" t="s">
        <v>151</v>
      </c>
      <c r="G12" s="40"/>
      <c r="H12" s="41"/>
      <c r="I12" s="40"/>
      <c r="J12" s="26" t="s">
        <v>260</v>
      </c>
      <c r="K12" s="40" t="s">
        <v>279</v>
      </c>
      <c r="L12" s="40" t="s">
        <v>154</v>
      </c>
      <c r="M12" s="40"/>
      <c r="N12" s="40" t="s">
        <v>30</v>
      </c>
      <c r="O12" s="40" t="s">
        <v>160</v>
      </c>
      <c r="P12" s="40" t="s">
        <v>160</v>
      </c>
      <c r="Q12" s="38" t="s">
        <v>30</v>
      </c>
      <c r="R12" s="38" t="s">
        <v>160</v>
      </c>
      <c r="S12" s="40" t="s">
        <v>160</v>
      </c>
      <c r="T12" s="40" t="s">
        <v>30</v>
      </c>
      <c r="U12" s="40" t="s">
        <v>162</v>
      </c>
      <c r="V12" s="40" t="s">
        <v>32</v>
      </c>
      <c r="W12" s="40" t="s">
        <v>30</v>
      </c>
      <c r="X12" s="40" t="s">
        <v>32</v>
      </c>
      <c r="Y12" s="38" t="s">
        <v>160</v>
      </c>
      <c r="Z12" s="38" t="s">
        <v>167</v>
      </c>
      <c r="AA12" s="40" t="s">
        <v>160</v>
      </c>
      <c r="AB12" s="40" t="s">
        <v>30</v>
      </c>
      <c r="AC12" s="40" t="s">
        <v>160</v>
      </c>
      <c r="AD12" s="40" t="s">
        <v>31</v>
      </c>
      <c r="AE12" s="40" t="s">
        <v>171</v>
      </c>
      <c r="AF12" s="40" t="s">
        <v>160</v>
      </c>
      <c r="AG12" s="38" t="s">
        <v>30</v>
      </c>
      <c r="AH12" s="42" t="s">
        <v>269</v>
      </c>
      <c r="AI12" s="40"/>
      <c r="AJ12" s="40" t="s">
        <v>173</v>
      </c>
      <c r="AK12" s="40" t="s">
        <v>173</v>
      </c>
      <c r="AL12" s="37" t="s">
        <v>270</v>
      </c>
      <c r="AM12" s="40"/>
      <c r="AN12" s="40" t="s">
        <v>176</v>
      </c>
      <c r="AO12" s="40" t="s">
        <v>178</v>
      </c>
      <c r="AP12" s="40" t="s">
        <v>180</v>
      </c>
      <c r="AQ12" s="38" t="s">
        <v>183</v>
      </c>
      <c r="AR12" s="40" t="s">
        <v>36</v>
      </c>
      <c r="AS12" s="40" t="s">
        <v>186</v>
      </c>
      <c r="AT12" s="40" t="s">
        <v>187</v>
      </c>
      <c r="AU12" s="40" t="s">
        <v>189</v>
      </c>
      <c r="AV12" s="40" t="s">
        <v>193</v>
      </c>
      <c r="AW12" s="40" t="s">
        <v>70</v>
      </c>
      <c r="AX12" s="40" t="s">
        <v>71</v>
      </c>
      <c r="AY12" s="40" t="s">
        <v>72</v>
      </c>
      <c r="AZ12" s="38" t="s">
        <v>0</v>
      </c>
      <c r="BA12" s="40"/>
      <c r="BB12" s="40" t="s">
        <v>75</v>
      </c>
      <c r="BC12" s="40" t="s">
        <v>27</v>
      </c>
      <c r="BD12" s="40" t="s">
        <v>77</v>
      </c>
      <c r="BE12" s="40" t="s">
        <v>27</v>
      </c>
      <c r="BF12" s="40" t="s">
        <v>99</v>
      </c>
      <c r="BG12" s="38" t="s">
        <v>48</v>
      </c>
      <c r="BH12" s="40"/>
      <c r="BI12" s="45" t="s">
        <v>2</v>
      </c>
      <c r="BJ12" s="40" t="s">
        <v>81</v>
      </c>
      <c r="BK12" s="26" t="s">
        <v>2</v>
      </c>
      <c r="BL12" s="37" t="s">
        <v>290</v>
      </c>
      <c r="BM12" s="37" t="s">
        <v>172</v>
      </c>
      <c r="BN12" s="38" t="s">
        <v>298</v>
      </c>
      <c r="BO12" s="38"/>
      <c r="BP12" s="40" t="s">
        <v>271</v>
      </c>
      <c r="BQ12" s="40" t="s">
        <v>9</v>
      </c>
      <c r="BR12" s="40" t="s">
        <v>172</v>
      </c>
      <c r="BS12" s="38" t="s">
        <v>86</v>
      </c>
      <c r="BT12" s="40"/>
      <c r="BU12" s="40"/>
      <c r="BV12" s="40" t="s">
        <v>90</v>
      </c>
      <c r="BW12" s="25" t="s">
        <v>283</v>
      </c>
      <c r="BX12" s="40" t="s">
        <v>95</v>
      </c>
      <c r="BY12" s="38" t="s">
        <v>97</v>
      </c>
      <c r="BZ12" s="38"/>
      <c r="CA12" s="40" t="s">
        <v>99</v>
      </c>
      <c r="CB12" s="38" t="s">
        <v>101</v>
      </c>
      <c r="CC12" s="38" t="s">
        <v>82</v>
      </c>
      <c r="CD12" s="40"/>
      <c r="CE12" s="40" t="s">
        <v>104</v>
      </c>
      <c r="CF12" s="40" t="s">
        <v>107</v>
      </c>
      <c r="CG12" s="40" t="s">
        <v>186</v>
      </c>
      <c r="CH12" s="40"/>
      <c r="CI12" s="40" t="s">
        <v>56</v>
      </c>
      <c r="CJ12" s="38" t="s">
        <v>114</v>
      </c>
      <c r="CK12" s="40"/>
      <c r="CL12" s="40"/>
      <c r="CM12" s="40" t="s">
        <v>116</v>
      </c>
      <c r="CN12" s="40"/>
      <c r="CO12" s="40" t="s">
        <v>194</v>
      </c>
      <c r="CP12" s="40" t="s">
        <v>195</v>
      </c>
      <c r="CQ12" s="40" t="s">
        <v>37</v>
      </c>
      <c r="CR12" s="38" t="s">
        <v>73</v>
      </c>
    </row>
    <row r="13" spans="1:96" s="25" customFormat="1" ht="10.199999999999999" x14ac:dyDescent="0.2">
      <c r="A13" s="18"/>
      <c r="B13" s="40"/>
      <c r="C13" s="41"/>
      <c r="D13" s="40"/>
      <c r="E13" s="40" t="s">
        <v>150</v>
      </c>
      <c r="F13" s="40" t="s">
        <v>152</v>
      </c>
      <c r="G13" s="40"/>
      <c r="H13" s="41"/>
      <c r="I13" s="40"/>
      <c r="J13" s="26" t="s">
        <v>261</v>
      </c>
      <c r="K13" s="40" t="s">
        <v>280</v>
      </c>
      <c r="L13" s="46" t="s">
        <v>155</v>
      </c>
      <c r="M13" s="46"/>
      <c r="N13" s="46"/>
      <c r="O13" s="40" t="s">
        <v>30</v>
      </c>
      <c r="P13" s="46" t="s">
        <v>157</v>
      </c>
      <c r="Q13" s="26"/>
      <c r="R13" s="38" t="s">
        <v>30</v>
      </c>
      <c r="S13" s="40" t="s">
        <v>30</v>
      </c>
      <c r="T13" s="40"/>
      <c r="U13" s="40" t="s">
        <v>163</v>
      </c>
      <c r="V13" s="40" t="s">
        <v>30</v>
      </c>
      <c r="W13" s="40"/>
      <c r="X13" s="40" t="s">
        <v>30</v>
      </c>
      <c r="Y13" s="47" t="s">
        <v>30</v>
      </c>
      <c r="Z13" s="38" t="s">
        <v>30</v>
      </c>
      <c r="AA13" s="40" t="s">
        <v>30</v>
      </c>
      <c r="AB13" s="40"/>
      <c r="AC13" s="40" t="s">
        <v>30</v>
      </c>
      <c r="AD13" s="40" t="s">
        <v>30</v>
      </c>
      <c r="AE13" s="40" t="s">
        <v>30</v>
      </c>
      <c r="AF13" s="40" t="s">
        <v>30</v>
      </c>
      <c r="AG13" s="38"/>
      <c r="AH13" s="48" t="s">
        <v>281</v>
      </c>
      <c r="AI13" s="40"/>
      <c r="AJ13" s="49"/>
      <c r="AK13" s="50"/>
      <c r="AL13" s="43" t="s">
        <v>268</v>
      </c>
      <c r="AM13" s="40"/>
      <c r="AN13" s="40" t="s">
        <v>175</v>
      </c>
      <c r="AO13" s="40" t="s">
        <v>179</v>
      </c>
      <c r="AP13" s="40" t="s">
        <v>179</v>
      </c>
      <c r="AQ13" s="38" t="s">
        <v>175</v>
      </c>
      <c r="AR13" s="40" t="s">
        <v>179</v>
      </c>
      <c r="AS13" s="40" t="s">
        <v>179</v>
      </c>
      <c r="AT13" s="40"/>
      <c r="AU13" s="40" t="s">
        <v>179</v>
      </c>
      <c r="AV13" s="40" t="s">
        <v>179</v>
      </c>
      <c r="AW13" s="40" t="s">
        <v>179</v>
      </c>
      <c r="AX13" s="40" t="s">
        <v>72</v>
      </c>
      <c r="AY13" s="40"/>
      <c r="AZ13" s="38" t="s">
        <v>73</v>
      </c>
      <c r="BA13" s="40"/>
      <c r="BB13" s="40" t="s">
        <v>27</v>
      </c>
      <c r="BC13" s="40"/>
      <c r="BD13" s="40" t="s">
        <v>27</v>
      </c>
      <c r="BE13" s="40"/>
      <c r="BF13" s="40" t="s">
        <v>163</v>
      </c>
      <c r="BG13" s="38" t="s">
        <v>78</v>
      </c>
      <c r="BH13" s="40"/>
      <c r="BI13" s="38" t="s">
        <v>282</v>
      </c>
      <c r="BJ13" s="40" t="s">
        <v>148</v>
      </c>
      <c r="BK13" s="40" t="s">
        <v>282</v>
      </c>
      <c r="BL13" s="37" t="s">
        <v>291</v>
      </c>
      <c r="BM13" s="37" t="s">
        <v>82</v>
      </c>
      <c r="BN13" s="38" t="s">
        <v>299</v>
      </c>
      <c r="BO13" s="38"/>
      <c r="BP13" s="40"/>
      <c r="BQ13" s="40" t="s">
        <v>163</v>
      </c>
      <c r="BR13" s="40" t="s">
        <v>163</v>
      </c>
      <c r="BS13" s="38" t="s">
        <v>88</v>
      </c>
      <c r="BT13" s="40"/>
      <c r="BU13" s="40"/>
      <c r="BV13" s="40" t="s">
        <v>82</v>
      </c>
      <c r="BW13" s="25" t="s">
        <v>284</v>
      </c>
      <c r="BX13" s="40" t="s">
        <v>82</v>
      </c>
      <c r="BY13" s="38" t="s">
        <v>98</v>
      </c>
      <c r="BZ13" s="38"/>
      <c r="CA13" s="40" t="s">
        <v>82</v>
      </c>
      <c r="CB13" s="38" t="s">
        <v>82</v>
      </c>
      <c r="CC13" s="38"/>
      <c r="CD13" s="40"/>
      <c r="CE13" s="40" t="s">
        <v>105</v>
      </c>
      <c r="CF13" s="40" t="s">
        <v>108</v>
      </c>
      <c r="CG13" s="40" t="s">
        <v>111</v>
      </c>
      <c r="CH13" s="40"/>
      <c r="CI13" s="40" t="s">
        <v>114</v>
      </c>
      <c r="CJ13" s="38" t="s">
        <v>148</v>
      </c>
      <c r="CK13" s="40"/>
      <c r="CL13" s="40"/>
      <c r="CM13" s="40" t="s">
        <v>117</v>
      </c>
      <c r="CN13" s="40"/>
      <c r="CO13" s="40"/>
      <c r="CP13" s="40" t="s">
        <v>82</v>
      </c>
      <c r="CQ13" s="40" t="s">
        <v>199</v>
      </c>
      <c r="CR13" s="38"/>
    </row>
    <row r="14" spans="1:96" s="56" customFormat="1" ht="10.199999999999999" x14ac:dyDescent="0.2">
      <c r="A14" s="51"/>
      <c r="B14" s="52">
        <v>1</v>
      </c>
      <c r="C14" s="53">
        <v>2</v>
      </c>
      <c r="D14" s="52">
        <v>3</v>
      </c>
      <c r="E14" s="54">
        <v>4</v>
      </c>
      <c r="F14" s="54">
        <v>5</v>
      </c>
      <c r="G14" s="52">
        <v>6</v>
      </c>
      <c r="H14" s="52">
        <v>7</v>
      </c>
      <c r="I14" s="54">
        <v>8</v>
      </c>
      <c r="J14" s="54">
        <v>9</v>
      </c>
      <c r="K14" s="52">
        <v>10</v>
      </c>
      <c r="L14" s="52">
        <v>11</v>
      </c>
      <c r="M14" s="52">
        <v>12</v>
      </c>
      <c r="N14" s="52">
        <v>13</v>
      </c>
      <c r="O14" s="52">
        <v>14</v>
      </c>
      <c r="P14" s="52">
        <v>15</v>
      </c>
      <c r="Q14" s="54">
        <v>16</v>
      </c>
      <c r="R14" s="54">
        <v>17</v>
      </c>
      <c r="S14" s="52">
        <v>18</v>
      </c>
      <c r="T14" s="52">
        <v>19</v>
      </c>
      <c r="U14" s="52">
        <v>20</v>
      </c>
      <c r="V14" s="52">
        <v>21</v>
      </c>
      <c r="W14" s="52">
        <v>22</v>
      </c>
      <c r="X14" s="52">
        <v>23</v>
      </c>
      <c r="Y14" s="54">
        <v>24</v>
      </c>
      <c r="Z14" s="54">
        <v>25</v>
      </c>
      <c r="AA14" s="52">
        <v>26</v>
      </c>
      <c r="AB14" s="52">
        <v>27</v>
      </c>
      <c r="AC14" s="52">
        <v>28</v>
      </c>
      <c r="AD14" s="52">
        <v>29</v>
      </c>
      <c r="AE14" s="52">
        <v>30</v>
      </c>
      <c r="AF14" s="52">
        <v>31</v>
      </c>
      <c r="AG14" s="54">
        <v>32</v>
      </c>
      <c r="AH14" s="54">
        <v>33</v>
      </c>
      <c r="AI14" s="52">
        <v>34</v>
      </c>
      <c r="AJ14" s="52">
        <v>35</v>
      </c>
      <c r="AK14" s="52">
        <v>36</v>
      </c>
      <c r="AL14" s="52">
        <v>37</v>
      </c>
      <c r="AM14" s="52">
        <v>38</v>
      </c>
      <c r="AN14" s="52">
        <v>39</v>
      </c>
      <c r="AO14" s="52">
        <v>40</v>
      </c>
      <c r="AP14" s="54">
        <v>41</v>
      </c>
      <c r="AQ14" s="54">
        <v>42</v>
      </c>
      <c r="AR14" s="52">
        <v>43</v>
      </c>
      <c r="AS14" s="52">
        <v>44</v>
      </c>
      <c r="AT14" s="52">
        <v>45</v>
      </c>
      <c r="AU14" s="52">
        <v>46</v>
      </c>
      <c r="AV14" s="52">
        <v>47</v>
      </c>
      <c r="AW14" s="52">
        <v>48</v>
      </c>
      <c r="AX14" s="52">
        <v>49</v>
      </c>
      <c r="AY14" s="54">
        <v>50</v>
      </c>
      <c r="AZ14" s="54">
        <v>51</v>
      </c>
      <c r="BA14" s="52">
        <v>52</v>
      </c>
      <c r="BB14" s="52">
        <v>53</v>
      </c>
      <c r="BC14" s="52">
        <v>54</v>
      </c>
      <c r="BD14" s="52">
        <v>55</v>
      </c>
      <c r="BE14" s="52">
        <v>56</v>
      </c>
      <c r="BF14" s="52">
        <v>57</v>
      </c>
      <c r="BG14" s="54">
        <v>58</v>
      </c>
      <c r="BH14" s="54">
        <v>59</v>
      </c>
      <c r="BI14" s="52">
        <v>60</v>
      </c>
      <c r="BJ14" s="52">
        <v>61</v>
      </c>
      <c r="BK14" s="52">
        <v>62</v>
      </c>
      <c r="BL14" s="55">
        <v>63</v>
      </c>
      <c r="BM14" s="55">
        <v>64</v>
      </c>
      <c r="BN14" s="54">
        <v>65</v>
      </c>
      <c r="BO14" s="54">
        <v>66</v>
      </c>
      <c r="BP14" s="54">
        <f>BO14+1</f>
        <v>67</v>
      </c>
      <c r="BQ14" s="54">
        <f t="shared" ref="BQ14:BW14" si="0">BP14+1</f>
        <v>68</v>
      </c>
      <c r="BR14" s="54">
        <f t="shared" si="0"/>
        <v>69</v>
      </c>
      <c r="BS14" s="54">
        <f t="shared" si="0"/>
        <v>70</v>
      </c>
      <c r="BT14" s="54">
        <f t="shared" si="0"/>
        <v>71</v>
      </c>
      <c r="BU14" s="54">
        <f t="shared" si="0"/>
        <v>72</v>
      </c>
      <c r="BV14" s="54">
        <f t="shared" si="0"/>
        <v>73</v>
      </c>
      <c r="BW14" s="54">
        <f t="shared" si="0"/>
        <v>74</v>
      </c>
      <c r="BX14" s="54">
        <f t="shared" ref="BX14:CC14" si="1">BW14+1</f>
        <v>75</v>
      </c>
      <c r="BY14" s="54">
        <f t="shared" si="1"/>
        <v>76</v>
      </c>
      <c r="BZ14" s="54">
        <f t="shared" si="1"/>
        <v>77</v>
      </c>
      <c r="CA14" s="54">
        <f t="shared" si="1"/>
        <v>78</v>
      </c>
      <c r="CB14" s="54">
        <f t="shared" si="1"/>
        <v>79</v>
      </c>
      <c r="CC14" s="54">
        <f t="shared" si="1"/>
        <v>80</v>
      </c>
      <c r="CD14" s="52">
        <f>CC14 +1</f>
        <v>81</v>
      </c>
      <c r="CE14" s="52">
        <f t="shared" ref="CE14:CJ14" si="2">CD14 +1</f>
        <v>82</v>
      </c>
      <c r="CF14" s="52">
        <f t="shared" si="2"/>
        <v>83</v>
      </c>
      <c r="CG14" s="52">
        <f t="shared" si="2"/>
        <v>84</v>
      </c>
      <c r="CH14" s="52">
        <f t="shared" si="2"/>
        <v>85</v>
      </c>
      <c r="CI14" s="52">
        <f t="shared" si="2"/>
        <v>86</v>
      </c>
      <c r="CJ14" s="54">
        <f t="shared" si="2"/>
        <v>87</v>
      </c>
      <c r="CK14" s="52">
        <f>CJ14+1</f>
        <v>88</v>
      </c>
      <c r="CL14" s="52">
        <f>CK14+1</f>
        <v>89</v>
      </c>
      <c r="CM14" s="52">
        <f t="shared" ref="CM14:CR14" si="3">CL14+1</f>
        <v>90</v>
      </c>
      <c r="CN14" s="52">
        <f t="shared" si="3"/>
        <v>91</v>
      </c>
      <c r="CO14" s="52">
        <f t="shared" si="3"/>
        <v>92</v>
      </c>
      <c r="CP14" s="52">
        <f t="shared" si="3"/>
        <v>93</v>
      </c>
      <c r="CQ14" s="52">
        <f t="shared" si="3"/>
        <v>94</v>
      </c>
      <c r="CR14" s="54">
        <f t="shared" si="3"/>
        <v>95</v>
      </c>
    </row>
    <row r="15" spans="1:96" s="63" customFormat="1" ht="10.199999999999999" x14ac:dyDescent="0.2">
      <c r="A15" s="57" t="s">
        <v>257</v>
      </c>
      <c r="B15" s="58">
        <v>5847221</v>
      </c>
      <c r="C15" s="58">
        <v>137294</v>
      </c>
      <c r="D15" s="58">
        <v>99073</v>
      </c>
      <c r="E15" s="58">
        <v>9942</v>
      </c>
      <c r="F15" s="58">
        <v>28278</v>
      </c>
      <c r="G15" s="58">
        <v>38506</v>
      </c>
      <c r="H15" s="59">
        <v>7238</v>
      </c>
      <c r="I15" s="58">
        <v>766689</v>
      </c>
      <c r="J15" s="59">
        <v>231765</v>
      </c>
      <c r="K15" s="58">
        <v>63354</v>
      </c>
      <c r="L15" s="58">
        <v>471570</v>
      </c>
      <c r="M15" s="58">
        <v>270727</v>
      </c>
      <c r="N15" s="58">
        <v>15976</v>
      </c>
      <c r="O15" s="59">
        <v>2564</v>
      </c>
      <c r="P15" s="58">
        <v>3595</v>
      </c>
      <c r="Q15" s="59">
        <v>10497</v>
      </c>
      <c r="R15" s="59">
        <v>2035</v>
      </c>
      <c r="S15" s="58">
        <v>11223</v>
      </c>
      <c r="T15" s="58">
        <v>3228</v>
      </c>
      <c r="U15" s="58">
        <v>32728</v>
      </c>
      <c r="V15" s="58">
        <v>1281</v>
      </c>
      <c r="W15" s="58">
        <v>10022</v>
      </c>
      <c r="X15" s="59">
        <v>10501</v>
      </c>
      <c r="Y15" s="60">
        <v>9029</v>
      </c>
      <c r="Z15" s="59">
        <v>6487</v>
      </c>
      <c r="AA15" s="58">
        <v>52188</v>
      </c>
      <c r="AB15" s="58">
        <v>23009</v>
      </c>
      <c r="AC15" s="58">
        <v>14453</v>
      </c>
      <c r="AD15" s="58">
        <v>6399</v>
      </c>
      <c r="AE15" s="58">
        <v>11591</v>
      </c>
      <c r="AF15" s="59">
        <v>12058</v>
      </c>
      <c r="AG15" s="60">
        <v>31864</v>
      </c>
      <c r="AH15" s="59">
        <v>986366</v>
      </c>
      <c r="AI15" s="58">
        <v>380773</v>
      </c>
      <c r="AJ15" s="58">
        <v>240688</v>
      </c>
      <c r="AK15" s="58">
        <v>122441</v>
      </c>
      <c r="AL15" s="58">
        <v>17644</v>
      </c>
      <c r="AM15" s="58">
        <v>605102</v>
      </c>
      <c r="AN15" s="58">
        <v>91406</v>
      </c>
      <c r="AO15" s="59">
        <v>39433</v>
      </c>
      <c r="AP15" s="58">
        <v>30951</v>
      </c>
      <c r="AQ15" s="59">
        <v>40110</v>
      </c>
      <c r="AR15" s="58">
        <v>93911</v>
      </c>
      <c r="AS15" s="58">
        <v>40683</v>
      </c>
      <c r="AT15" s="58">
        <v>40942</v>
      </c>
      <c r="AU15" s="58">
        <v>50174</v>
      </c>
      <c r="AV15" s="58">
        <v>29155</v>
      </c>
      <c r="AW15" s="58">
        <v>10430</v>
      </c>
      <c r="AX15" s="59">
        <v>84139</v>
      </c>
      <c r="AY15" s="61">
        <v>53768</v>
      </c>
      <c r="AZ15" s="62">
        <v>492</v>
      </c>
      <c r="BA15" s="58">
        <v>195228</v>
      </c>
      <c r="BB15" s="58">
        <v>12911</v>
      </c>
      <c r="BC15" s="58">
        <v>106781</v>
      </c>
      <c r="BD15" s="58">
        <v>27763</v>
      </c>
      <c r="BE15" s="58">
        <v>503</v>
      </c>
      <c r="BF15" s="58">
        <v>42699</v>
      </c>
      <c r="BG15" s="59">
        <v>4571</v>
      </c>
      <c r="BH15" s="61">
        <v>118279</v>
      </c>
      <c r="BI15" s="60">
        <v>31415</v>
      </c>
      <c r="BJ15" s="58">
        <v>32859</v>
      </c>
      <c r="BK15" s="58">
        <v>6466</v>
      </c>
      <c r="BL15" s="58">
        <v>17543</v>
      </c>
      <c r="BM15" s="58">
        <v>8927</v>
      </c>
      <c r="BN15" s="59">
        <v>21069</v>
      </c>
      <c r="BO15" s="59">
        <v>254092</v>
      </c>
      <c r="BP15" s="58">
        <v>55179</v>
      </c>
      <c r="BQ15" s="58">
        <v>56867</v>
      </c>
      <c r="BR15" s="59">
        <v>114892</v>
      </c>
      <c r="BS15" s="59">
        <v>27154</v>
      </c>
      <c r="BT15" s="58">
        <v>648578</v>
      </c>
      <c r="BU15" s="58">
        <v>601503</v>
      </c>
      <c r="BV15" s="58">
        <v>44891</v>
      </c>
      <c r="BW15" s="59">
        <v>2184</v>
      </c>
      <c r="BX15" s="58">
        <v>845356</v>
      </c>
      <c r="BY15" s="58">
        <v>45725</v>
      </c>
      <c r="BZ15" s="59">
        <v>276344</v>
      </c>
      <c r="CA15" s="58">
        <v>261481</v>
      </c>
      <c r="CB15" s="59">
        <v>14863</v>
      </c>
      <c r="CC15" s="59">
        <v>52484</v>
      </c>
      <c r="CD15" s="58">
        <v>416101</v>
      </c>
      <c r="CE15" s="58">
        <v>335940</v>
      </c>
      <c r="CF15" s="58">
        <v>61810</v>
      </c>
      <c r="CG15" s="58">
        <v>18351</v>
      </c>
      <c r="CH15" s="58">
        <v>122425</v>
      </c>
      <c r="CI15" s="59">
        <v>70697</v>
      </c>
      <c r="CJ15" s="59">
        <v>51728</v>
      </c>
      <c r="CK15" s="58">
        <v>292901</v>
      </c>
      <c r="CL15" s="58">
        <v>35265</v>
      </c>
      <c r="CM15" s="58">
        <v>257636</v>
      </c>
      <c r="CN15" s="58">
        <v>371146</v>
      </c>
      <c r="CO15" s="58">
        <v>165377</v>
      </c>
      <c r="CP15" s="58">
        <v>154800</v>
      </c>
      <c r="CQ15" s="58">
        <v>50968</v>
      </c>
      <c r="CR15" s="59">
        <v>1742</v>
      </c>
    </row>
    <row r="16" spans="1:96" s="64" customFormat="1" ht="10.199999999999999" x14ac:dyDescent="0.2">
      <c r="A16" s="57" t="s">
        <v>202</v>
      </c>
      <c r="B16" s="61">
        <v>76799143905</v>
      </c>
      <c r="C16" s="61">
        <v>141892761</v>
      </c>
      <c r="D16" s="61">
        <v>108720485</v>
      </c>
      <c r="E16" s="61">
        <v>17906348</v>
      </c>
      <c r="F16" s="61">
        <v>15265928</v>
      </c>
      <c r="G16" s="61">
        <v>890547131</v>
      </c>
      <c r="H16" s="60">
        <v>1577295662</v>
      </c>
      <c r="I16" s="61">
        <v>762606047</v>
      </c>
      <c r="J16" s="60">
        <v>335745504</v>
      </c>
      <c r="K16" s="61">
        <v>216978497</v>
      </c>
      <c r="L16" s="61">
        <v>209882045</v>
      </c>
      <c r="M16" s="61">
        <v>10356934872</v>
      </c>
      <c r="N16" s="61">
        <v>804710059</v>
      </c>
      <c r="O16" s="60">
        <v>245773439</v>
      </c>
      <c r="P16" s="61">
        <v>29112823</v>
      </c>
      <c r="Q16" s="60">
        <v>37774352</v>
      </c>
      <c r="R16" s="60">
        <v>7596603</v>
      </c>
      <c r="S16" s="61">
        <v>45702457</v>
      </c>
      <c r="T16" s="61">
        <v>275300755</v>
      </c>
      <c r="U16" s="61">
        <v>68266822</v>
      </c>
      <c r="V16" s="61">
        <v>1914419642</v>
      </c>
      <c r="W16" s="61">
        <v>1702128079</v>
      </c>
      <c r="X16" s="60">
        <v>140692186</v>
      </c>
      <c r="Y16" s="60">
        <v>165219345</v>
      </c>
      <c r="Z16" s="60">
        <v>308601639</v>
      </c>
      <c r="AA16" s="61">
        <v>422138340</v>
      </c>
      <c r="AB16" s="61">
        <v>485579561</v>
      </c>
      <c r="AC16" s="61">
        <v>1074705643</v>
      </c>
      <c r="AD16" s="61">
        <v>993860398</v>
      </c>
      <c r="AE16" s="61">
        <v>1261226859</v>
      </c>
      <c r="AF16" s="60">
        <v>34817939</v>
      </c>
      <c r="AG16" s="60">
        <v>339307932</v>
      </c>
      <c r="AH16" s="60">
        <v>3604059999</v>
      </c>
      <c r="AI16" s="61">
        <v>2020855751</v>
      </c>
      <c r="AJ16" s="61">
        <v>886332764</v>
      </c>
      <c r="AK16" s="61">
        <v>1132567277</v>
      </c>
      <c r="AL16" s="61">
        <v>1955710</v>
      </c>
      <c r="AM16" s="61">
        <v>1583203698</v>
      </c>
      <c r="AN16" s="61">
        <v>243702731</v>
      </c>
      <c r="AO16" s="60">
        <v>40682457</v>
      </c>
      <c r="AP16" s="61">
        <v>44550940</v>
      </c>
      <c r="AQ16" s="60">
        <v>161051017</v>
      </c>
      <c r="AR16" s="61">
        <v>181350311</v>
      </c>
      <c r="AS16" s="61">
        <v>145665151</v>
      </c>
      <c r="AT16" s="61">
        <v>48714543</v>
      </c>
      <c r="AU16" s="61">
        <v>112371761</v>
      </c>
      <c r="AV16" s="61">
        <v>46870631</v>
      </c>
      <c r="AW16" s="61">
        <v>353783564</v>
      </c>
      <c r="AX16" s="60">
        <v>65434844</v>
      </c>
      <c r="AY16" s="61">
        <v>139025746</v>
      </c>
      <c r="AZ16" s="62">
        <v>550</v>
      </c>
      <c r="BA16" s="61">
        <v>709134090</v>
      </c>
      <c r="BB16" s="61">
        <v>413526278</v>
      </c>
      <c r="BC16" s="61">
        <v>93440724</v>
      </c>
      <c r="BD16" s="61">
        <v>19157960</v>
      </c>
      <c r="BE16" s="61">
        <v>20310302</v>
      </c>
      <c r="BF16" s="61">
        <v>133601358</v>
      </c>
      <c r="BG16" s="60">
        <v>29097469</v>
      </c>
      <c r="BH16" s="61">
        <v>2468467797</v>
      </c>
      <c r="BI16" s="60">
        <v>491909752</v>
      </c>
      <c r="BJ16" s="61">
        <v>175178460</v>
      </c>
      <c r="BK16" s="61">
        <v>278583214</v>
      </c>
      <c r="BL16" s="61">
        <v>1359460280</v>
      </c>
      <c r="BM16" s="61">
        <v>91230228</v>
      </c>
      <c r="BN16" s="60">
        <v>72105863</v>
      </c>
      <c r="BO16" s="60">
        <v>33890646518</v>
      </c>
      <c r="BP16" s="61">
        <v>4686058971</v>
      </c>
      <c r="BQ16" s="61">
        <v>7779927884</v>
      </c>
      <c r="BR16" s="60">
        <v>8148391010</v>
      </c>
      <c r="BS16" s="60">
        <v>13276268652</v>
      </c>
      <c r="BT16" s="61">
        <v>1470105720</v>
      </c>
      <c r="BU16" s="61">
        <v>1249345063</v>
      </c>
      <c r="BV16" s="61">
        <v>200768411</v>
      </c>
      <c r="BW16" s="60">
        <v>19992247</v>
      </c>
      <c r="BX16" s="61">
        <v>794631006</v>
      </c>
      <c r="BY16" s="61">
        <v>18775836616</v>
      </c>
      <c r="BZ16" s="60">
        <v>290311946</v>
      </c>
      <c r="CA16" s="61">
        <v>220458486</v>
      </c>
      <c r="CB16" s="60">
        <v>69853459</v>
      </c>
      <c r="CC16" s="60">
        <v>39406001</v>
      </c>
      <c r="CD16" s="61">
        <v>324958969</v>
      </c>
      <c r="CE16" s="61">
        <v>130665730</v>
      </c>
      <c r="CF16" s="61">
        <v>60802642</v>
      </c>
      <c r="CG16" s="61">
        <v>133490598</v>
      </c>
      <c r="CH16" s="61">
        <v>108055646</v>
      </c>
      <c r="CI16" s="60">
        <v>36376105</v>
      </c>
      <c r="CJ16" s="60">
        <v>71679540</v>
      </c>
      <c r="CK16" s="61">
        <v>474149261</v>
      </c>
      <c r="CL16" s="61">
        <v>261014639</v>
      </c>
      <c r="CM16" s="61">
        <v>213134622</v>
      </c>
      <c r="CN16" s="61">
        <v>119946102</v>
      </c>
      <c r="CO16" s="61">
        <v>47834389</v>
      </c>
      <c r="CP16" s="61">
        <v>56178162</v>
      </c>
      <c r="CQ16" s="61">
        <v>15933551</v>
      </c>
      <c r="CR16" s="62">
        <v>157761</v>
      </c>
    </row>
    <row r="17" spans="1:96" s="69" customFormat="1" ht="10.199999999999999" x14ac:dyDescent="0.2">
      <c r="A17" s="65" t="s">
        <v>203</v>
      </c>
      <c r="B17" s="66">
        <v>4384454244</v>
      </c>
      <c r="C17" s="66">
        <v>14352198</v>
      </c>
      <c r="D17" s="66">
        <v>8167741</v>
      </c>
      <c r="E17" s="66">
        <v>3946847</v>
      </c>
      <c r="F17" s="66">
        <v>2237610</v>
      </c>
      <c r="G17" s="66">
        <v>35741789</v>
      </c>
      <c r="H17" s="67">
        <v>40237117</v>
      </c>
      <c r="I17" s="66">
        <v>119131733</v>
      </c>
      <c r="J17" s="67">
        <v>51471003</v>
      </c>
      <c r="K17" s="66">
        <v>28351851</v>
      </c>
      <c r="L17" s="66">
        <v>39308880</v>
      </c>
      <c r="M17" s="66">
        <v>333735366</v>
      </c>
      <c r="N17" s="66">
        <v>10333110</v>
      </c>
      <c r="O17" s="67">
        <v>15992321</v>
      </c>
      <c r="P17" s="66">
        <v>1500768</v>
      </c>
      <c r="Q17" s="67">
        <v>2422834</v>
      </c>
      <c r="R17" s="67">
        <v>708560</v>
      </c>
      <c r="S17" s="66">
        <v>2609581</v>
      </c>
      <c r="T17" s="66">
        <v>4253884</v>
      </c>
      <c r="U17" s="66">
        <v>4800904</v>
      </c>
      <c r="V17" s="66">
        <v>15501738</v>
      </c>
      <c r="W17" s="66">
        <v>43220680</v>
      </c>
      <c r="X17" s="67">
        <v>6511868</v>
      </c>
      <c r="Y17" s="67">
        <v>5333820</v>
      </c>
      <c r="Z17" s="67">
        <v>14137327</v>
      </c>
      <c r="AA17" s="66">
        <v>18372089</v>
      </c>
      <c r="AB17" s="66">
        <v>22453294</v>
      </c>
      <c r="AC17" s="66">
        <v>69112802</v>
      </c>
      <c r="AD17" s="66">
        <v>29904096</v>
      </c>
      <c r="AE17" s="66">
        <v>48682530</v>
      </c>
      <c r="AF17" s="67">
        <v>2047652</v>
      </c>
      <c r="AG17" s="67">
        <v>15835508</v>
      </c>
      <c r="AH17" s="67">
        <v>232802991</v>
      </c>
      <c r="AI17" s="66">
        <v>131108234</v>
      </c>
      <c r="AJ17" s="66">
        <v>63590319</v>
      </c>
      <c r="AK17" s="66">
        <v>67002063</v>
      </c>
      <c r="AL17" s="66">
        <v>515853</v>
      </c>
      <c r="AM17" s="66">
        <v>101694207</v>
      </c>
      <c r="AN17" s="66">
        <v>19400432</v>
      </c>
      <c r="AO17" s="67">
        <v>3424283</v>
      </c>
      <c r="AP17" s="66">
        <v>4072828</v>
      </c>
      <c r="AQ17" s="67">
        <v>6308292</v>
      </c>
      <c r="AR17" s="66">
        <v>11790705</v>
      </c>
      <c r="AS17" s="66">
        <v>5718291</v>
      </c>
      <c r="AT17" s="66">
        <v>4934056</v>
      </c>
      <c r="AU17" s="66">
        <v>11908637</v>
      </c>
      <c r="AV17" s="66">
        <v>3230420</v>
      </c>
      <c r="AW17" s="66">
        <v>13934328</v>
      </c>
      <c r="AX17" s="67">
        <v>4427102</v>
      </c>
      <c r="AY17" s="66">
        <v>12544833</v>
      </c>
      <c r="AZ17" s="68">
        <v>550</v>
      </c>
      <c r="BA17" s="66">
        <v>47158556</v>
      </c>
      <c r="BB17" s="66">
        <v>27544245</v>
      </c>
      <c r="BC17" s="66">
        <v>7559705</v>
      </c>
      <c r="BD17" s="66">
        <v>1096363</v>
      </c>
      <c r="BE17" s="66">
        <v>398266</v>
      </c>
      <c r="BF17" s="66">
        <v>9020260</v>
      </c>
      <c r="BG17" s="67">
        <v>1539717</v>
      </c>
      <c r="BH17" s="66">
        <v>100097360</v>
      </c>
      <c r="BI17" s="67">
        <v>36498733</v>
      </c>
      <c r="BJ17" s="66">
        <v>10028969</v>
      </c>
      <c r="BK17" s="66">
        <v>8918086</v>
      </c>
      <c r="BL17" s="66">
        <v>29743376</v>
      </c>
      <c r="BM17" s="66">
        <v>6613963</v>
      </c>
      <c r="BN17" s="67">
        <v>8294233</v>
      </c>
      <c r="BO17" s="67">
        <v>1180391417</v>
      </c>
      <c r="BP17" s="66">
        <v>236017143</v>
      </c>
      <c r="BQ17" s="66">
        <v>612854540</v>
      </c>
      <c r="BR17" s="67">
        <v>211285343</v>
      </c>
      <c r="BS17" s="67">
        <v>120234391</v>
      </c>
      <c r="BT17" s="66">
        <v>70192757</v>
      </c>
      <c r="BU17" s="66">
        <v>58807823</v>
      </c>
      <c r="BV17" s="66">
        <v>10031078</v>
      </c>
      <c r="BW17" s="67">
        <v>1353856</v>
      </c>
      <c r="BX17" s="66">
        <v>111007039</v>
      </c>
      <c r="BY17" s="66">
        <v>1979952037</v>
      </c>
      <c r="BZ17" s="67">
        <v>24868484</v>
      </c>
      <c r="CA17" s="66">
        <v>21115029</v>
      </c>
      <c r="CB17" s="67">
        <v>3753456</v>
      </c>
      <c r="CC17" s="67">
        <v>6222000</v>
      </c>
      <c r="CD17" s="66">
        <v>31026661</v>
      </c>
      <c r="CE17" s="66">
        <v>18545478</v>
      </c>
      <c r="CF17" s="66">
        <v>5782120</v>
      </c>
      <c r="CG17" s="66">
        <v>6699063</v>
      </c>
      <c r="CH17" s="66">
        <v>11254480</v>
      </c>
      <c r="CI17" s="67">
        <v>5447318</v>
      </c>
      <c r="CJ17" s="67">
        <v>5807162</v>
      </c>
      <c r="CK17" s="66">
        <v>28325974</v>
      </c>
      <c r="CL17" s="66">
        <v>13391348</v>
      </c>
      <c r="CM17" s="66">
        <v>14934626</v>
      </c>
      <c r="CN17" s="66">
        <v>17910673</v>
      </c>
      <c r="CO17" s="66">
        <v>5604126</v>
      </c>
      <c r="CP17" s="66">
        <v>4227374</v>
      </c>
      <c r="CQ17" s="66">
        <v>8079173</v>
      </c>
      <c r="CR17" s="68">
        <v>45609</v>
      </c>
    </row>
    <row r="18" spans="1:96" s="69" customFormat="1" ht="10.199999999999999" x14ac:dyDescent="0.2">
      <c r="A18" s="65" t="s">
        <v>204</v>
      </c>
      <c r="B18" s="66">
        <v>13854552316</v>
      </c>
      <c r="C18" s="66">
        <v>11525751</v>
      </c>
      <c r="D18" s="66">
        <v>8961751</v>
      </c>
      <c r="E18" s="66">
        <v>539094</v>
      </c>
      <c r="F18" s="66">
        <v>2024906</v>
      </c>
      <c r="G18" s="66">
        <v>112082452</v>
      </c>
      <c r="H18" s="67">
        <v>107081921</v>
      </c>
      <c r="I18" s="66">
        <v>194486109</v>
      </c>
      <c r="J18" s="67">
        <v>78455208</v>
      </c>
      <c r="K18" s="66">
        <v>38591658</v>
      </c>
      <c r="L18" s="66">
        <v>77439243</v>
      </c>
      <c r="M18" s="66">
        <v>2286629283</v>
      </c>
      <c r="N18" s="66">
        <v>331734091</v>
      </c>
      <c r="O18" s="67">
        <v>14449999</v>
      </c>
      <c r="P18" s="66">
        <v>4097728</v>
      </c>
      <c r="Q18" s="67">
        <v>7955541</v>
      </c>
      <c r="R18" s="67">
        <v>1645617</v>
      </c>
      <c r="S18" s="66">
        <v>5842219</v>
      </c>
      <c r="T18" s="66">
        <v>31443931</v>
      </c>
      <c r="U18" s="66">
        <v>13742759</v>
      </c>
      <c r="V18" s="66">
        <v>647200300</v>
      </c>
      <c r="W18" s="66">
        <v>230441949</v>
      </c>
      <c r="X18" s="67">
        <v>22565576</v>
      </c>
      <c r="Y18" s="67">
        <v>17525323</v>
      </c>
      <c r="Z18" s="67">
        <v>73895309</v>
      </c>
      <c r="AA18" s="66">
        <v>46544467</v>
      </c>
      <c r="AB18" s="66">
        <v>105299579</v>
      </c>
      <c r="AC18" s="66">
        <v>160188548</v>
      </c>
      <c r="AD18" s="66">
        <v>215780490</v>
      </c>
      <c r="AE18" s="66">
        <v>306248523</v>
      </c>
      <c r="AF18" s="67">
        <v>6505452</v>
      </c>
      <c r="AG18" s="67">
        <v>43521882</v>
      </c>
      <c r="AH18" s="67">
        <v>519622844</v>
      </c>
      <c r="AI18" s="66">
        <v>386255121</v>
      </c>
      <c r="AJ18" s="66">
        <v>231005512</v>
      </c>
      <c r="AK18" s="66">
        <v>155038910</v>
      </c>
      <c r="AL18" s="66">
        <v>210699</v>
      </c>
      <c r="AM18" s="66">
        <v>133367723</v>
      </c>
      <c r="AN18" s="66">
        <v>24318065</v>
      </c>
      <c r="AO18" s="67">
        <v>5773526</v>
      </c>
      <c r="AP18" s="66">
        <v>7630104</v>
      </c>
      <c r="AQ18" s="67">
        <v>11257991</v>
      </c>
      <c r="AR18" s="66">
        <v>12248791</v>
      </c>
      <c r="AS18" s="66">
        <v>22020766</v>
      </c>
      <c r="AT18" s="66">
        <v>3162013</v>
      </c>
      <c r="AU18" s="66">
        <v>7918014</v>
      </c>
      <c r="AV18" s="66">
        <v>2730894</v>
      </c>
      <c r="AW18" s="66">
        <v>13606905</v>
      </c>
      <c r="AX18" s="67">
        <v>6548726</v>
      </c>
      <c r="AY18" s="66">
        <v>16151928</v>
      </c>
      <c r="AZ18" s="67">
        <v>0</v>
      </c>
      <c r="BA18" s="66">
        <v>72498696</v>
      </c>
      <c r="BB18" s="66">
        <v>20219785</v>
      </c>
      <c r="BC18" s="66">
        <v>17661385</v>
      </c>
      <c r="BD18" s="66">
        <v>2115183</v>
      </c>
      <c r="BE18" s="66">
        <v>1665878</v>
      </c>
      <c r="BF18" s="66">
        <v>27957206</v>
      </c>
      <c r="BG18" s="67">
        <v>2879259</v>
      </c>
      <c r="BH18" s="66">
        <v>237588738</v>
      </c>
      <c r="BI18" s="67">
        <v>53321769</v>
      </c>
      <c r="BJ18" s="66">
        <v>18241146</v>
      </c>
      <c r="BK18" s="66">
        <v>23569549</v>
      </c>
      <c r="BL18" s="66">
        <v>127857730</v>
      </c>
      <c r="BM18" s="66">
        <v>5748660</v>
      </c>
      <c r="BN18" s="67">
        <v>8849884</v>
      </c>
      <c r="BO18" s="67">
        <v>3138659933</v>
      </c>
      <c r="BP18" s="66">
        <v>761486057</v>
      </c>
      <c r="BQ18" s="66">
        <v>1834087171</v>
      </c>
      <c r="BR18" s="67">
        <v>309779900</v>
      </c>
      <c r="BS18" s="67">
        <v>233306805</v>
      </c>
      <c r="BT18" s="66">
        <v>79338491</v>
      </c>
      <c r="BU18" s="66">
        <v>47076546</v>
      </c>
      <c r="BV18" s="66">
        <v>31180092</v>
      </c>
      <c r="BW18" s="67">
        <v>1081853</v>
      </c>
      <c r="BX18" s="66">
        <v>165421337</v>
      </c>
      <c r="BY18" s="66">
        <v>6779309740</v>
      </c>
      <c r="BZ18" s="67">
        <v>52559075</v>
      </c>
      <c r="CA18" s="66">
        <v>42880300</v>
      </c>
      <c r="CB18" s="67">
        <v>9678775</v>
      </c>
      <c r="CC18" s="67">
        <v>4940283</v>
      </c>
      <c r="CD18" s="66">
        <v>50197895</v>
      </c>
      <c r="CE18" s="66">
        <v>15533246</v>
      </c>
      <c r="CF18" s="66">
        <v>11175792</v>
      </c>
      <c r="CG18" s="66">
        <v>23488857</v>
      </c>
      <c r="CH18" s="66">
        <v>7315469</v>
      </c>
      <c r="CI18" s="67">
        <v>2623391</v>
      </c>
      <c r="CJ18" s="67">
        <v>4692078</v>
      </c>
      <c r="CK18" s="66">
        <v>22740594</v>
      </c>
      <c r="CL18" s="66">
        <v>10061383</v>
      </c>
      <c r="CM18" s="66">
        <v>12679211</v>
      </c>
      <c r="CN18" s="66">
        <v>12526534</v>
      </c>
      <c r="CO18" s="66">
        <v>6167696</v>
      </c>
      <c r="CP18" s="66">
        <v>5085913</v>
      </c>
      <c r="CQ18" s="66">
        <v>1272925</v>
      </c>
      <c r="CR18" s="68">
        <v>27171</v>
      </c>
    </row>
    <row r="19" spans="1:96" s="69" customFormat="1" ht="10.199999999999999" x14ac:dyDescent="0.2">
      <c r="A19" s="65" t="s">
        <v>205</v>
      </c>
      <c r="B19" s="66">
        <v>275816749</v>
      </c>
      <c r="C19" s="66">
        <v>90933</v>
      </c>
      <c r="D19" s="66">
        <v>70960</v>
      </c>
      <c r="E19" s="70">
        <v>9184</v>
      </c>
      <c r="F19" s="66">
        <v>10789</v>
      </c>
      <c r="G19" s="66">
        <v>789690</v>
      </c>
      <c r="H19" s="67">
        <v>4191167</v>
      </c>
      <c r="I19" s="66">
        <v>1561516</v>
      </c>
      <c r="J19" s="67">
        <v>342156</v>
      </c>
      <c r="K19" s="66">
        <v>451004</v>
      </c>
      <c r="L19" s="66">
        <v>768356</v>
      </c>
      <c r="M19" s="66">
        <v>27309081</v>
      </c>
      <c r="N19" s="66">
        <v>669126</v>
      </c>
      <c r="O19" s="67">
        <v>150566</v>
      </c>
      <c r="P19" s="66">
        <v>166361</v>
      </c>
      <c r="Q19" s="67">
        <v>411059</v>
      </c>
      <c r="R19" s="67">
        <v>54156</v>
      </c>
      <c r="S19" s="66">
        <v>182443</v>
      </c>
      <c r="T19" s="66">
        <v>529005</v>
      </c>
      <c r="U19" s="66">
        <v>313425</v>
      </c>
      <c r="V19" s="66">
        <v>810753</v>
      </c>
      <c r="W19" s="66">
        <v>4864898</v>
      </c>
      <c r="X19" s="67">
        <v>653458</v>
      </c>
      <c r="Y19" s="67">
        <v>527659</v>
      </c>
      <c r="Z19" s="67">
        <v>693817</v>
      </c>
      <c r="AA19" s="66">
        <v>1189095</v>
      </c>
      <c r="AB19" s="66">
        <v>1851257</v>
      </c>
      <c r="AC19" s="66">
        <v>2863819</v>
      </c>
      <c r="AD19" s="66">
        <v>3764290</v>
      </c>
      <c r="AE19" s="66">
        <v>5606359</v>
      </c>
      <c r="AF19" s="67">
        <v>342828</v>
      </c>
      <c r="AG19" s="67">
        <v>1664708</v>
      </c>
      <c r="AH19" s="67">
        <v>15055749</v>
      </c>
      <c r="AI19" s="66">
        <v>10433985</v>
      </c>
      <c r="AJ19" s="66">
        <v>6906024</v>
      </c>
      <c r="AK19" s="66">
        <v>3524112</v>
      </c>
      <c r="AL19" s="66">
        <v>3849</v>
      </c>
      <c r="AM19" s="66">
        <v>4621764</v>
      </c>
      <c r="AN19" s="66">
        <v>388979</v>
      </c>
      <c r="AO19" s="67">
        <v>125256</v>
      </c>
      <c r="AP19" s="66">
        <v>116813</v>
      </c>
      <c r="AQ19" s="67">
        <v>307327</v>
      </c>
      <c r="AR19" s="66">
        <v>98103</v>
      </c>
      <c r="AS19" s="66">
        <v>993346</v>
      </c>
      <c r="AT19" s="66">
        <v>46390</v>
      </c>
      <c r="AU19" s="66">
        <v>322502</v>
      </c>
      <c r="AV19" s="66">
        <v>161448</v>
      </c>
      <c r="AW19" s="66">
        <v>1154136</v>
      </c>
      <c r="AX19" s="67">
        <v>176243</v>
      </c>
      <c r="AY19" s="66">
        <v>731222</v>
      </c>
      <c r="AZ19" s="67">
        <v>0</v>
      </c>
      <c r="BA19" s="66">
        <v>1466351</v>
      </c>
      <c r="BB19" s="66">
        <v>517810</v>
      </c>
      <c r="BC19" s="66">
        <v>408577</v>
      </c>
      <c r="BD19" s="66">
        <v>31010</v>
      </c>
      <c r="BE19" s="70">
        <v>11152</v>
      </c>
      <c r="BF19" s="66">
        <v>471075</v>
      </c>
      <c r="BG19" s="67">
        <v>26727</v>
      </c>
      <c r="BH19" s="66">
        <v>12065217</v>
      </c>
      <c r="BI19" s="67">
        <v>3735541</v>
      </c>
      <c r="BJ19" s="66">
        <v>1294714</v>
      </c>
      <c r="BK19" s="66">
        <v>859553</v>
      </c>
      <c r="BL19" s="66">
        <v>5777050</v>
      </c>
      <c r="BM19" s="66">
        <v>154763</v>
      </c>
      <c r="BN19" s="67">
        <v>243598</v>
      </c>
      <c r="BO19" s="67">
        <v>40335009</v>
      </c>
      <c r="BP19" s="66">
        <v>31153016</v>
      </c>
      <c r="BQ19" s="66">
        <v>2130852</v>
      </c>
      <c r="BR19" s="67">
        <v>3280620</v>
      </c>
      <c r="BS19" s="67">
        <v>3770520</v>
      </c>
      <c r="BT19" s="66">
        <v>2303557</v>
      </c>
      <c r="BU19" s="66">
        <v>1401632</v>
      </c>
      <c r="BV19" s="66">
        <v>858332</v>
      </c>
      <c r="BW19" s="67">
        <v>43593</v>
      </c>
      <c r="BX19" s="66">
        <v>3293183</v>
      </c>
      <c r="BY19" s="66">
        <v>149152475</v>
      </c>
      <c r="BZ19" s="67">
        <v>1409847</v>
      </c>
      <c r="CA19" s="66">
        <v>1185630</v>
      </c>
      <c r="CB19" s="67">
        <v>224217</v>
      </c>
      <c r="CC19" s="67">
        <v>638155</v>
      </c>
      <c r="CD19" s="66">
        <v>14220800</v>
      </c>
      <c r="CE19" s="66">
        <v>3166824</v>
      </c>
      <c r="CF19" s="66">
        <v>2662909</v>
      </c>
      <c r="CG19" s="66">
        <v>8391067</v>
      </c>
      <c r="CH19" s="66">
        <v>359709</v>
      </c>
      <c r="CI19" s="67">
        <v>115418</v>
      </c>
      <c r="CJ19" s="67">
        <v>244291</v>
      </c>
      <c r="CK19" s="66">
        <v>1164567</v>
      </c>
      <c r="CL19" s="66">
        <v>884562</v>
      </c>
      <c r="CM19" s="66">
        <v>280006</v>
      </c>
      <c r="CN19" s="66">
        <v>409744</v>
      </c>
      <c r="CO19" s="66">
        <v>80424</v>
      </c>
      <c r="CP19" s="66">
        <v>137773</v>
      </c>
      <c r="CQ19" s="66">
        <v>191547</v>
      </c>
      <c r="CR19" s="67">
        <v>0</v>
      </c>
    </row>
    <row r="20" spans="1:96" s="69" customFormat="1" ht="10.199999999999999" x14ac:dyDescent="0.2">
      <c r="A20" s="71" t="s">
        <v>206</v>
      </c>
      <c r="B20" s="72">
        <v>1619270780</v>
      </c>
      <c r="C20" s="66">
        <v>14478656</v>
      </c>
      <c r="D20" s="66">
        <v>11943535</v>
      </c>
      <c r="E20" s="66">
        <v>605538</v>
      </c>
      <c r="F20" s="66">
        <v>1929583</v>
      </c>
      <c r="G20" s="66">
        <v>21563212</v>
      </c>
      <c r="H20" s="67">
        <v>32749682</v>
      </c>
      <c r="I20" s="66">
        <v>110977114</v>
      </c>
      <c r="J20" s="67">
        <v>72788362</v>
      </c>
      <c r="K20" s="66">
        <v>28709569</v>
      </c>
      <c r="L20" s="66">
        <v>9479182</v>
      </c>
      <c r="M20" s="66">
        <v>611456389</v>
      </c>
      <c r="N20" s="66">
        <v>45705845</v>
      </c>
      <c r="O20" s="67">
        <v>15940384</v>
      </c>
      <c r="P20" s="66">
        <v>5534110</v>
      </c>
      <c r="Q20" s="67">
        <v>9801792</v>
      </c>
      <c r="R20" s="67">
        <v>1434453</v>
      </c>
      <c r="S20" s="66">
        <v>7651521</v>
      </c>
      <c r="T20" s="66">
        <v>17485297</v>
      </c>
      <c r="U20" s="66">
        <v>4307437</v>
      </c>
      <c r="V20" s="66">
        <v>35536058</v>
      </c>
      <c r="W20" s="66">
        <v>92069351</v>
      </c>
      <c r="X20" s="67">
        <v>20356737</v>
      </c>
      <c r="Y20" s="67">
        <v>13673052</v>
      </c>
      <c r="Z20" s="67">
        <v>33579280</v>
      </c>
      <c r="AA20" s="66">
        <v>39514635</v>
      </c>
      <c r="AB20" s="66">
        <v>55977927</v>
      </c>
      <c r="AC20" s="66">
        <v>51229265</v>
      </c>
      <c r="AD20" s="66">
        <v>25922295</v>
      </c>
      <c r="AE20" s="66">
        <v>96841115</v>
      </c>
      <c r="AF20" s="67">
        <v>5738272</v>
      </c>
      <c r="AG20" s="67">
        <v>33157564</v>
      </c>
      <c r="AH20" s="67">
        <v>737557453</v>
      </c>
      <c r="AI20" s="66">
        <v>338336866</v>
      </c>
      <c r="AJ20" s="66">
        <v>206136558</v>
      </c>
      <c r="AK20" s="66">
        <v>132200283</v>
      </c>
      <c r="AL20" s="66">
        <v>25</v>
      </c>
      <c r="AM20" s="66">
        <v>399220587</v>
      </c>
      <c r="AN20" s="66">
        <v>128600583</v>
      </c>
      <c r="AO20" s="67">
        <v>13874611</v>
      </c>
      <c r="AP20" s="66">
        <v>9665518</v>
      </c>
      <c r="AQ20" s="67">
        <v>36234447</v>
      </c>
      <c r="AR20" s="66">
        <v>28914750</v>
      </c>
      <c r="AS20" s="66">
        <v>28056949</v>
      </c>
      <c r="AT20" s="66">
        <v>5171009</v>
      </c>
      <c r="AU20" s="66">
        <v>32877885</v>
      </c>
      <c r="AV20" s="66">
        <v>18563020</v>
      </c>
      <c r="AW20" s="66">
        <v>70070671</v>
      </c>
      <c r="AX20" s="67">
        <v>17348546</v>
      </c>
      <c r="AY20" s="66">
        <v>9842599</v>
      </c>
      <c r="AZ20" s="67">
        <v>0</v>
      </c>
      <c r="BA20" s="66">
        <v>8471358</v>
      </c>
      <c r="BB20" s="66">
        <v>4926696</v>
      </c>
      <c r="BC20" s="66">
        <v>1030302</v>
      </c>
      <c r="BD20" s="66">
        <v>124120</v>
      </c>
      <c r="BE20" s="66">
        <v>283114</v>
      </c>
      <c r="BF20" s="66">
        <v>1592514</v>
      </c>
      <c r="BG20" s="67">
        <v>514612</v>
      </c>
      <c r="BH20" s="66">
        <v>29057717</v>
      </c>
      <c r="BI20" s="67">
        <v>8181612</v>
      </c>
      <c r="BJ20" s="66">
        <v>5288936</v>
      </c>
      <c r="BK20" s="66">
        <v>1595663</v>
      </c>
      <c r="BL20" s="66">
        <v>13001617</v>
      </c>
      <c r="BM20" s="66">
        <v>180873</v>
      </c>
      <c r="BN20" s="67">
        <v>809016</v>
      </c>
      <c r="BO20" s="67">
        <v>6926660</v>
      </c>
      <c r="BP20" s="66">
        <v>633310</v>
      </c>
      <c r="BQ20" s="66">
        <v>5664018</v>
      </c>
      <c r="BR20" s="67">
        <v>612443</v>
      </c>
      <c r="BS20" s="68">
        <v>16890</v>
      </c>
      <c r="BT20" s="66">
        <v>5946951</v>
      </c>
      <c r="BU20" s="66">
        <v>1335076</v>
      </c>
      <c r="BV20" s="66">
        <v>4569830</v>
      </c>
      <c r="BW20" s="67">
        <v>42045</v>
      </c>
      <c r="BX20" s="66">
        <v>15339660</v>
      </c>
      <c r="BY20" s="66">
        <v>264854</v>
      </c>
      <c r="BZ20" s="67">
        <v>3280831</v>
      </c>
      <c r="CA20" s="66">
        <v>2564831</v>
      </c>
      <c r="CB20" s="67">
        <v>716000</v>
      </c>
      <c r="CC20" s="67">
        <v>524515</v>
      </c>
      <c r="CD20" s="66">
        <v>2241213</v>
      </c>
      <c r="CE20" s="66">
        <v>1224244</v>
      </c>
      <c r="CF20" s="66">
        <v>762299</v>
      </c>
      <c r="CG20" s="66">
        <v>254670</v>
      </c>
      <c r="CH20" s="66">
        <v>1728446</v>
      </c>
      <c r="CI20" s="67">
        <v>620151</v>
      </c>
      <c r="CJ20" s="67">
        <v>1108295</v>
      </c>
      <c r="CK20" s="66">
        <v>9713566</v>
      </c>
      <c r="CL20" s="66">
        <v>4168000</v>
      </c>
      <c r="CM20" s="66">
        <v>5545566</v>
      </c>
      <c r="CN20" s="66">
        <v>6991588</v>
      </c>
      <c r="CO20" s="66">
        <v>4735697</v>
      </c>
      <c r="CP20" s="66">
        <v>2192661</v>
      </c>
      <c r="CQ20" s="66">
        <v>63230</v>
      </c>
      <c r="CR20" s="68">
        <v>915</v>
      </c>
    </row>
    <row r="21" spans="1:96" s="69" customFormat="1" ht="10.199999999999999" x14ac:dyDescent="0.2">
      <c r="A21" s="65" t="s">
        <v>207</v>
      </c>
      <c r="B21" s="66">
        <v>2192988384</v>
      </c>
      <c r="C21" s="66">
        <v>176032</v>
      </c>
      <c r="D21" s="66">
        <v>172215</v>
      </c>
      <c r="E21" s="66">
        <v>3489</v>
      </c>
      <c r="F21" s="70">
        <v>328</v>
      </c>
      <c r="G21" s="66">
        <v>1142130</v>
      </c>
      <c r="H21" s="67">
        <v>3212071</v>
      </c>
      <c r="I21" s="66">
        <v>820527</v>
      </c>
      <c r="J21" s="67">
        <v>429508</v>
      </c>
      <c r="K21" s="66">
        <v>308111</v>
      </c>
      <c r="L21" s="66">
        <v>82907</v>
      </c>
      <c r="M21" s="66">
        <v>5331096</v>
      </c>
      <c r="N21" s="66">
        <v>1396530</v>
      </c>
      <c r="O21" s="68">
        <v>11278</v>
      </c>
      <c r="P21" s="70">
        <v>26547</v>
      </c>
      <c r="Q21" s="67">
        <v>0</v>
      </c>
      <c r="R21" s="67">
        <v>0</v>
      </c>
      <c r="S21" s="70">
        <v>99125</v>
      </c>
      <c r="T21" s="70">
        <v>3372</v>
      </c>
      <c r="U21" s="70">
        <v>98936</v>
      </c>
      <c r="V21" s="66">
        <v>31465</v>
      </c>
      <c r="W21" s="70">
        <v>811185</v>
      </c>
      <c r="X21" s="67">
        <v>0</v>
      </c>
      <c r="Y21" s="67">
        <v>187866</v>
      </c>
      <c r="Z21" s="67">
        <v>41035</v>
      </c>
      <c r="AA21" s="66">
        <v>253041</v>
      </c>
      <c r="AB21" s="66">
        <v>209830</v>
      </c>
      <c r="AC21" s="66">
        <v>294875</v>
      </c>
      <c r="AD21" s="70">
        <v>820922</v>
      </c>
      <c r="AE21" s="66">
        <v>885702</v>
      </c>
      <c r="AF21" s="67">
        <v>13</v>
      </c>
      <c r="AG21" s="68">
        <v>159371</v>
      </c>
      <c r="AH21" s="67">
        <v>6844330</v>
      </c>
      <c r="AI21" s="66">
        <v>6640306</v>
      </c>
      <c r="AJ21" s="66">
        <v>1324901</v>
      </c>
      <c r="AK21" s="66">
        <v>5315405</v>
      </c>
      <c r="AL21" s="66">
        <v>0</v>
      </c>
      <c r="AM21" s="66">
        <v>204024</v>
      </c>
      <c r="AN21" s="70">
        <v>19814</v>
      </c>
      <c r="AO21" s="68">
        <v>24413</v>
      </c>
      <c r="AP21" s="66">
        <v>1000</v>
      </c>
      <c r="AQ21" s="68">
        <v>91238</v>
      </c>
      <c r="AR21" s="70">
        <v>19720</v>
      </c>
      <c r="AS21" s="70">
        <v>5403</v>
      </c>
      <c r="AT21" s="70">
        <v>490</v>
      </c>
      <c r="AU21" s="70">
        <v>25558</v>
      </c>
      <c r="AV21" s="66">
        <v>0</v>
      </c>
      <c r="AW21" s="66">
        <v>0</v>
      </c>
      <c r="AX21" s="68">
        <v>16388</v>
      </c>
      <c r="AY21" s="66">
        <v>0</v>
      </c>
      <c r="AZ21" s="67">
        <v>0</v>
      </c>
      <c r="BA21" s="66">
        <v>571825</v>
      </c>
      <c r="BB21" s="66">
        <v>436265</v>
      </c>
      <c r="BC21" s="70">
        <v>109417</v>
      </c>
      <c r="BD21" s="66">
        <v>0</v>
      </c>
      <c r="BE21" s="66">
        <v>0</v>
      </c>
      <c r="BF21" s="66">
        <v>6091</v>
      </c>
      <c r="BG21" s="68">
        <v>20052</v>
      </c>
      <c r="BH21" s="66">
        <v>681823</v>
      </c>
      <c r="BI21" s="67">
        <v>237666</v>
      </c>
      <c r="BJ21" s="70">
        <v>111254</v>
      </c>
      <c r="BK21" s="66">
        <v>57672</v>
      </c>
      <c r="BL21" s="66">
        <v>262223</v>
      </c>
      <c r="BM21" s="66">
        <v>0</v>
      </c>
      <c r="BN21" s="67">
        <v>13008</v>
      </c>
      <c r="BO21" s="67">
        <v>1615986240</v>
      </c>
      <c r="BP21" s="66">
        <v>76610222</v>
      </c>
      <c r="BQ21" s="66">
        <v>134230052</v>
      </c>
      <c r="BR21" s="67">
        <v>240862263</v>
      </c>
      <c r="BS21" s="67">
        <v>1164283703</v>
      </c>
      <c r="BT21" s="66">
        <v>1199966</v>
      </c>
      <c r="BU21" s="66">
        <v>990783</v>
      </c>
      <c r="BV21" s="70">
        <v>194581</v>
      </c>
      <c r="BW21" s="67">
        <v>14603</v>
      </c>
      <c r="BX21" s="66">
        <v>1109030</v>
      </c>
      <c r="BY21" s="66">
        <v>554921181</v>
      </c>
      <c r="BZ21" s="67">
        <v>250631</v>
      </c>
      <c r="CA21" s="66">
        <v>241023</v>
      </c>
      <c r="CB21" s="68">
        <v>9608</v>
      </c>
      <c r="CC21" s="67">
        <v>0</v>
      </c>
      <c r="CD21" s="66">
        <v>275806</v>
      </c>
      <c r="CE21" s="70">
        <v>154021</v>
      </c>
      <c r="CF21" s="70">
        <v>20667</v>
      </c>
      <c r="CG21" s="70">
        <v>101118</v>
      </c>
      <c r="CH21" s="70">
        <v>72940</v>
      </c>
      <c r="CI21" s="67">
        <v>36757</v>
      </c>
      <c r="CJ21" s="68">
        <v>36183</v>
      </c>
      <c r="CK21" s="66">
        <v>165636</v>
      </c>
      <c r="CL21" s="66">
        <v>122852</v>
      </c>
      <c r="CM21" s="70">
        <v>42784</v>
      </c>
      <c r="CN21" s="66">
        <v>227119</v>
      </c>
      <c r="CO21" s="70">
        <v>1523</v>
      </c>
      <c r="CP21" s="70">
        <v>2338</v>
      </c>
      <c r="CQ21" s="66">
        <v>223258</v>
      </c>
      <c r="CR21" s="67">
        <v>0</v>
      </c>
    </row>
    <row r="22" spans="1:96" s="69" customFormat="1" ht="10.199999999999999" x14ac:dyDescent="0.2">
      <c r="A22" s="65" t="s">
        <v>208</v>
      </c>
      <c r="B22" s="66">
        <v>1619564304</v>
      </c>
      <c r="C22" s="66">
        <v>629150</v>
      </c>
      <c r="D22" s="66">
        <v>622795</v>
      </c>
      <c r="E22" s="70">
        <v>17</v>
      </c>
      <c r="F22" s="70">
        <v>6337</v>
      </c>
      <c r="G22" s="66">
        <v>417783</v>
      </c>
      <c r="H22" s="68">
        <v>475061</v>
      </c>
      <c r="I22" s="66">
        <v>840866</v>
      </c>
      <c r="J22" s="67">
        <v>318447</v>
      </c>
      <c r="K22" s="66">
        <v>346799</v>
      </c>
      <c r="L22" s="66">
        <v>175620</v>
      </c>
      <c r="M22" s="66">
        <v>10033302</v>
      </c>
      <c r="N22" s="66">
        <v>207972</v>
      </c>
      <c r="O22" s="68">
        <v>164614</v>
      </c>
      <c r="P22" s="70">
        <v>483511</v>
      </c>
      <c r="Q22" s="67">
        <v>1118</v>
      </c>
      <c r="R22" s="67">
        <v>0</v>
      </c>
      <c r="S22" s="66">
        <v>5072</v>
      </c>
      <c r="T22" s="70">
        <v>95552</v>
      </c>
      <c r="U22" s="70">
        <v>36034</v>
      </c>
      <c r="V22" s="70">
        <v>2998198</v>
      </c>
      <c r="W22" s="70">
        <v>720687</v>
      </c>
      <c r="X22" s="68">
        <v>252645</v>
      </c>
      <c r="Y22" s="68">
        <v>22303</v>
      </c>
      <c r="Z22" s="68">
        <v>178121</v>
      </c>
      <c r="AA22" s="66">
        <v>259577</v>
      </c>
      <c r="AB22" s="66">
        <v>178240</v>
      </c>
      <c r="AC22" s="66">
        <v>920635</v>
      </c>
      <c r="AD22" s="66">
        <v>2786387</v>
      </c>
      <c r="AE22" s="66">
        <v>7271</v>
      </c>
      <c r="AF22" s="68">
        <v>476686</v>
      </c>
      <c r="AG22" s="67">
        <v>238682</v>
      </c>
      <c r="AH22" s="67">
        <v>7045182</v>
      </c>
      <c r="AI22" s="66">
        <v>5860283</v>
      </c>
      <c r="AJ22" s="66">
        <v>902180</v>
      </c>
      <c r="AK22" s="66">
        <v>4958103</v>
      </c>
      <c r="AL22" s="66">
        <v>0</v>
      </c>
      <c r="AM22" s="66">
        <v>1184899</v>
      </c>
      <c r="AN22" s="70">
        <v>21805</v>
      </c>
      <c r="AO22" s="68">
        <v>102935</v>
      </c>
      <c r="AP22" s="66">
        <v>3170</v>
      </c>
      <c r="AQ22" s="68">
        <v>96835</v>
      </c>
      <c r="AR22" s="70">
        <v>559567</v>
      </c>
      <c r="AS22" s="70">
        <v>30210</v>
      </c>
      <c r="AT22" s="70">
        <v>494</v>
      </c>
      <c r="AU22" s="66">
        <v>334493</v>
      </c>
      <c r="AV22" s="66">
        <v>1000</v>
      </c>
      <c r="AW22" s="66">
        <v>0</v>
      </c>
      <c r="AX22" s="68">
        <v>26992</v>
      </c>
      <c r="AY22" s="70">
        <v>7397</v>
      </c>
      <c r="AZ22" s="67">
        <v>0</v>
      </c>
      <c r="BA22" s="66">
        <v>661160</v>
      </c>
      <c r="BB22" s="70">
        <v>296439</v>
      </c>
      <c r="BC22" s="70">
        <v>6339</v>
      </c>
      <c r="BD22" s="66">
        <v>0</v>
      </c>
      <c r="BE22" s="70">
        <v>12610</v>
      </c>
      <c r="BF22" s="70">
        <v>326656</v>
      </c>
      <c r="BG22" s="68">
        <v>19115</v>
      </c>
      <c r="BH22" s="66">
        <v>2560592</v>
      </c>
      <c r="BI22" s="67">
        <v>1180605</v>
      </c>
      <c r="BJ22" s="70">
        <v>282469</v>
      </c>
      <c r="BK22" s="70">
        <v>932683</v>
      </c>
      <c r="BL22" s="66">
        <v>133274</v>
      </c>
      <c r="BM22" s="70">
        <v>31561</v>
      </c>
      <c r="BN22" s="67">
        <v>0</v>
      </c>
      <c r="BO22" s="67">
        <v>1449963670</v>
      </c>
      <c r="BP22" s="66">
        <v>31247680</v>
      </c>
      <c r="BQ22" s="66">
        <v>5009808</v>
      </c>
      <c r="BR22" s="67">
        <v>629687507</v>
      </c>
      <c r="BS22" s="67">
        <v>784018674</v>
      </c>
      <c r="BT22" s="66">
        <v>1470725</v>
      </c>
      <c r="BU22" s="66">
        <v>1015796</v>
      </c>
      <c r="BV22" s="70">
        <v>162413</v>
      </c>
      <c r="BW22" s="67">
        <v>292516</v>
      </c>
      <c r="BX22" s="66">
        <v>538682</v>
      </c>
      <c r="BY22" s="66">
        <v>143436463</v>
      </c>
      <c r="BZ22" s="67">
        <v>457394</v>
      </c>
      <c r="CA22" s="66">
        <v>410061</v>
      </c>
      <c r="CB22" s="68">
        <v>47333</v>
      </c>
      <c r="CC22" s="68">
        <v>92716</v>
      </c>
      <c r="CD22" s="66">
        <v>542650</v>
      </c>
      <c r="CE22" s="70">
        <v>478168</v>
      </c>
      <c r="CF22" s="70">
        <v>64292</v>
      </c>
      <c r="CG22" s="66">
        <v>190</v>
      </c>
      <c r="CH22" s="70">
        <v>147686</v>
      </c>
      <c r="CI22" s="68">
        <v>78525</v>
      </c>
      <c r="CJ22" s="68">
        <v>69161</v>
      </c>
      <c r="CK22" s="66">
        <v>117483</v>
      </c>
      <c r="CL22" s="70">
        <v>9</v>
      </c>
      <c r="CM22" s="70">
        <v>117474</v>
      </c>
      <c r="CN22" s="66">
        <v>133738</v>
      </c>
      <c r="CO22" s="66">
        <v>0</v>
      </c>
      <c r="CP22" s="70">
        <v>104465</v>
      </c>
      <c r="CQ22" s="70">
        <v>29273</v>
      </c>
      <c r="CR22" s="67">
        <v>0</v>
      </c>
    </row>
    <row r="23" spans="1:96" s="69" customFormat="1" ht="10.199999999999999" x14ac:dyDescent="0.2">
      <c r="A23" s="65" t="s">
        <v>209</v>
      </c>
      <c r="B23" s="66">
        <v>5091760177</v>
      </c>
      <c r="C23" s="66">
        <v>6194446</v>
      </c>
      <c r="D23" s="66">
        <v>4833413</v>
      </c>
      <c r="E23" s="66">
        <v>475057</v>
      </c>
      <c r="F23" s="66">
        <v>885977</v>
      </c>
      <c r="G23" s="66">
        <v>32340956</v>
      </c>
      <c r="H23" s="67">
        <v>100888593</v>
      </c>
      <c r="I23" s="66">
        <v>83329685</v>
      </c>
      <c r="J23" s="67">
        <v>43482486</v>
      </c>
      <c r="K23" s="66">
        <v>22844303</v>
      </c>
      <c r="L23" s="66">
        <v>17002896</v>
      </c>
      <c r="M23" s="66">
        <v>547323705</v>
      </c>
      <c r="N23" s="66">
        <v>19400430</v>
      </c>
      <c r="O23" s="67">
        <v>6948154</v>
      </c>
      <c r="P23" s="66">
        <v>1224477</v>
      </c>
      <c r="Q23" s="67">
        <v>2653634</v>
      </c>
      <c r="R23" s="67">
        <v>623119</v>
      </c>
      <c r="S23" s="66">
        <v>2156980</v>
      </c>
      <c r="T23" s="66">
        <v>13493099</v>
      </c>
      <c r="U23" s="66">
        <v>3331663</v>
      </c>
      <c r="V23" s="66">
        <v>51077209</v>
      </c>
      <c r="W23" s="66">
        <v>117653486</v>
      </c>
      <c r="X23" s="67">
        <v>5493494</v>
      </c>
      <c r="Y23" s="67">
        <v>4207822</v>
      </c>
      <c r="Z23" s="67">
        <v>10534441</v>
      </c>
      <c r="AA23" s="66">
        <v>16709179</v>
      </c>
      <c r="AB23" s="66">
        <v>25616787</v>
      </c>
      <c r="AC23" s="66">
        <v>87865455</v>
      </c>
      <c r="AD23" s="66">
        <v>56859673</v>
      </c>
      <c r="AE23" s="66">
        <v>101244922</v>
      </c>
      <c r="AF23" s="67">
        <v>1831507</v>
      </c>
      <c r="AG23" s="67">
        <v>18398174</v>
      </c>
      <c r="AH23" s="67">
        <v>190905181</v>
      </c>
      <c r="AI23" s="66">
        <v>119610875</v>
      </c>
      <c r="AJ23" s="66">
        <v>60568294</v>
      </c>
      <c r="AK23" s="66">
        <v>58854332</v>
      </c>
      <c r="AL23" s="66">
        <v>188249</v>
      </c>
      <c r="AM23" s="66">
        <v>71294307</v>
      </c>
      <c r="AN23" s="66">
        <v>6069102</v>
      </c>
      <c r="AO23" s="67">
        <v>1825752</v>
      </c>
      <c r="AP23" s="66">
        <v>3010811</v>
      </c>
      <c r="AQ23" s="67">
        <v>12805982</v>
      </c>
      <c r="AR23" s="66">
        <v>6767891</v>
      </c>
      <c r="AS23" s="66">
        <v>2995355</v>
      </c>
      <c r="AT23" s="66">
        <v>1761179</v>
      </c>
      <c r="AU23" s="66">
        <v>6692251</v>
      </c>
      <c r="AV23" s="66">
        <v>1739922</v>
      </c>
      <c r="AW23" s="66">
        <v>8978974</v>
      </c>
      <c r="AX23" s="67">
        <v>6999871</v>
      </c>
      <c r="AY23" s="66">
        <v>11647216</v>
      </c>
      <c r="AZ23" s="67">
        <v>0</v>
      </c>
      <c r="BA23" s="66">
        <v>36733792</v>
      </c>
      <c r="BB23" s="66">
        <v>20145836</v>
      </c>
      <c r="BC23" s="66">
        <v>8491821</v>
      </c>
      <c r="BD23" s="66">
        <v>976165</v>
      </c>
      <c r="BE23" s="66">
        <v>326710</v>
      </c>
      <c r="BF23" s="66">
        <v>6163095</v>
      </c>
      <c r="BG23" s="67">
        <v>630165</v>
      </c>
      <c r="BH23" s="66">
        <v>104787541</v>
      </c>
      <c r="BI23" s="67">
        <v>30146264</v>
      </c>
      <c r="BJ23" s="66">
        <v>9513730</v>
      </c>
      <c r="BK23" s="66">
        <v>13766547</v>
      </c>
      <c r="BL23" s="66">
        <v>28491680</v>
      </c>
      <c r="BM23" s="66">
        <v>7869205</v>
      </c>
      <c r="BN23" s="67">
        <v>15000115</v>
      </c>
      <c r="BO23" s="67">
        <v>2990389595</v>
      </c>
      <c r="BP23" s="66">
        <v>241467380</v>
      </c>
      <c r="BQ23" s="66">
        <v>2066057055</v>
      </c>
      <c r="BR23" s="67">
        <v>425043873</v>
      </c>
      <c r="BS23" s="67">
        <v>257821288</v>
      </c>
      <c r="BT23" s="66">
        <v>72317616</v>
      </c>
      <c r="BU23" s="66">
        <v>63068623</v>
      </c>
      <c r="BV23" s="66">
        <v>7816496</v>
      </c>
      <c r="BW23" s="67">
        <v>1432498</v>
      </c>
      <c r="BX23" s="66">
        <v>68643452</v>
      </c>
      <c r="BY23" s="66">
        <v>794372931</v>
      </c>
      <c r="BZ23" s="67">
        <v>19351299</v>
      </c>
      <c r="CA23" s="66">
        <v>16326891</v>
      </c>
      <c r="CB23" s="67">
        <v>3024408</v>
      </c>
      <c r="CC23" s="67">
        <v>2160720</v>
      </c>
      <c r="CD23" s="66">
        <v>16131917</v>
      </c>
      <c r="CE23" s="66">
        <v>6170384</v>
      </c>
      <c r="CF23" s="66">
        <v>3590119</v>
      </c>
      <c r="CG23" s="66">
        <v>6371415</v>
      </c>
      <c r="CH23" s="66">
        <v>7220043</v>
      </c>
      <c r="CI23" s="67">
        <v>4851507</v>
      </c>
      <c r="CJ23" s="67">
        <v>2368536</v>
      </c>
      <c r="CK23" s="66">
        <v>13251665</v>
      </c>
      <c r="CL23" s="66">
        <v>6817288</v>
      </c>
      <c r="CM23" s="66">
        <v>6434377</v>
      </c>
      <c r="CN23" s="66">
        <v>5394725</v>
      </c>
      <c r="CO23" s="66">
        <v>1717638</v>
      </c>
      <c r="CP23" s="66">
        <v>2551453</v>
      </c>
      <c r="CQ23" s="66">
        <v>1125634</v>
      </c>
      <c r="CR23" s="68">
        <v>22314</v>
      </c>
    </row>
    <row r="24" spans="1:96" s="69" customFormat="1" ht="10.199999999999999" x14ac:dyDescent="0.2">
      <c r="A24" s="65" t="s">
        <v>210</v>
      </c>
      <c r="B24" s="66">
        <v>254235487</v>
      </c>
      <c r="C24" s="66">
        <v>5048551</v>
      </c>
      <c r="D24" s="66">
        <v>4436916</v>
      </c>
      <c r="E24" s="66">
        <v>152688</v>
      </c>
      <c r="F24" s="66">
        <v>458947</v>
      </c>
      <c r="G24" s="66">
        <v>3982582</v>
      </c>
      <c r="H24" s="67">
        <v>78229</v>
      </c>
      <c r="I24" s="66">
        <v>11395697</v>
      </c>
      <c r="J24" s="67">
        <v>4181363</v>
      </c>
      <c r="K24" s="66">
        <v>2084755</v>
      </c>
      <c r="L24" s="66">
        <v>5129579</v>
      </c>
      <c r="M24" s="66">
        <v>76792493</v>
      </c>
      <c r="N24" s="66">
        <v>712318</v>
      </c>
      <c r="O24" s="67">
        <v>182628</v>
      </c>
      <c r="P24" s="66">
        <v>148181</v>
      </c>
      <c r="Q24" s="67">
        <v>186909</v>
      </c>
      <c r="R24" s="68">
        <v>65049</v>
      </c>
      <c r="S24" s="66">
        <v>215187</v>
      </c>
      <c r="T24" s="66">
        <v>4111448</v>
      </c>
      <c r="U24" s="66">
        <v>465315</v>
      </c>
      <c r="V24" s="66">
        <v>30891977</v>
      </c>
      <c r="W24" s="66">
        <v>28608675</v>
      </c>
      <c r="X24" s="67">
        <v>571353</v>
      </c>
      <c r="Y24" s="67">
        <v>1004225</v>
      </c>
      <c r="Z24" s="67">
        <v>252592</v>
      </c>
      <c r="AA24" s="66">
        <v>2455831</v>
      </c>
      <c r="AB24" s="66">
        <v>1847886</v>
      </c>
      <c r="AC24" s="66">
        <v>3453454</v>
      </c>
      <c r="AD24" s="66">
        <v>333641</v>
      </c>
      <c r="AE24" s="66">
        <v>544500</v>
      </c>
      <c r="AF24" s="67">
        <v>158884</v>
      </c>
      <c r="AG24" s="67">
        <v>582440</v>
      </c>
      <c r="AH24" s="67">
        <v>19487024</v>
      </c>
      <c r="AI24" s="66">
        <v>10385552</v>
      </c>
      <c r="AJ24" s="66">
        <v>7337251</v>
      </c>
      <c r="AK24" s="66">
        <v>3018580</v>
      </c>
      <c r="AL24" s="66">
        <v>29721</v>
      </c>
      <c r="AM24" s="66">
        <v>9101472</v>
      </c>
      <c r="AN24" s="66">
        <v>2703194</v>
      </c>
      <c r="AO24" s="67">
        <v>514885</v>
      </c>
      <c r="AP24" s="66">
        <v>424797</v>
      </c>
      <c r="AQ24" s="67">
        <v>1107418</v>
      </c>
      <c r="AR24" s="66">
        <v>803962</v>
      </c>
      <c r="AS24" s="66">
        <v>355877</v>
      </c>
      <c r="AT24" s="66">
        <v>858603</v>
      </c>
      <c r="AU24" s="66">
        <v>391059</v>
      </c>
      <c r="AV24" s="66">
        <v>363475</v>
      </c>
      <c r="AW24" s="66">
        <v>268333</v>
      </c>
      <c r="AX24" s="67">
        <v>793466</v>
      </c>
      <c r="AY24" s="66">
        <v>516403</v>
      </c>
      <c r="AZ24" s="67">
        <v>0</v>
      </c>
      <c r="BA24" s="66">
        <v>5165235</v>
      </c>
      <c r="BB24" s="66">
        <v>217333</v>
      </c>
      <c r="BC24" s="66">
        <v>2855579</v>
      </c>
      <c r="BD24" s="66">
        <v>1203251</v>
      </c>
      <c r="BE24" s="70">
        <v>49157</v>
      </c>
      <c r="BF24" s="66">
        <v>631377</v>
      </c>
      <c r="BG24" s="67">
        <v>208538</v>
      </c>
      <c r="BH24" s="66">
        <v>6739429</v>
      </c>
      <c r="BI24" s="67">
        <v>3804923</v>
      </c>
      <c r="BJ24" s="66">
        <v>589421</v>
      </c>
      <c r="BK24" s="66">
        <v>568047</v>
      </c>
      <c r="BL24" s="66">
        <v>1355793</v>
      </c>
      <c r="BM24" s="66">
        <v>106422</v>
      </c>
      <c r="BN24" s="67">
        <v>314823</v>
      </c>
      <c r="BO24" s="67">
        <v>41819935</v>
      </c>
      <c r="BP24" s="66">
        <v>22519132</v>
      </c>
      <c r="BQ24" s="66">
        <v>1939072</v>
      </c>
      <c r="BR24" s="67">
        <v>4445793</v>
      </c>
      <c r="BS24" s="67">
        <v>12915938</v>
      </c>
      <c r="BT24" s="66">
        <v>14510280</v>
      </c>
      <c r="BU24" s="66">
        <v>13496207</v>
      </c>
      <c r="BV24" s="66">
        <v>978451</v>
      </c>
      <c r="BW24" s="68">
        <v>35621</v>
      </c>
      <c r="BX24" s="66">
        <v>8122169</v>
      </c>
      <c r="BY24" s="66">
        <v>27782520</v>
      </c>
      <c r="BZ24" s="67">
        <v>3584589</v>
      </c>
      <c r="CA24" s="66">
        <v>3359513</v>
      </c>
      <c r="CB24" s="67">
        <v>225076</v>
      </c>
      <c r="CC24" s="67">
        <v>397064</v>
      </c>
      <c r="CD24" s="66">
        <v>17187775</v>
      </c>
      <c r="CE24" s="66">
        <v>15993316</v>
      </c>
      <c r="CF24" s="66">
        <v>572243</v>
      </c>
      <c r="CG24" s="66">
        <v>622216</v>
      </c>
      <c r="CH24" s="66">
        <v>1402740</v>
      </c>
      <c r="CI24" s="67">
        <v>570337</v>
      </c>
      <c r="CJ24" s="67">
        <v>832403</v>
      </c>
      <c r="CK24" s="66">
        <v>8202866</v>
      </c>
      <c r="CL24" s="66">
        <v>5842269</v>
      </c>
      <c r="CM24" s="66">
        <v>2360597</v>
      </c>
      <c r="CN24" s="66">
        <v>2534966</v>
      </c>
      <c r="CO24" s="66">
        <v>1620646</v>
      </c>
      <c r="CP24" s="66">
        <v>903098</v>
      </c>
      <c r="CQ24" s="70">
        <v>11222</v>
      </c>
      <c r="CR24" s="68">
        <v>1346</v>
      </c>
    </row>
    <row r="25" spans="1:96" s="69" customFormat="1" ht="10.199999999999999" x14ac:dyDescent="0.2">
      <c r="A25" s="65" t="s">
        <v>211</v>
      </c>
      <c r="B25" s="66">
        <v>5450234189</v>
      </c>
      <c r="C25" s="66">
        <v>1118942</v>
      </c>
      <c r="D25" s="66">
        <v>967115</v>
      </c>
      <c r="E25" s="70">
        <v>84853</v>
      </c>
      <c r="F25" s="66">
        <v>66974</v>
      </c>
      <c r="G25" s="66">
        <v>476817</v>
      </c>
      <c r="H25" s="68">
        <v>3407252</v>
      </c>
      <c r="I25" s="66">
        <v>4658551</v>
      </c>
      <c r="J25" s="67">
        <v>3178677</v>
      </c>
      <c r="K25" s="66">
        <v>1196668</v>
      </c>
      <c r="L25" s="66">
        <v>283206</v>
      </c>
      <c r="M25" s="66">
        <v>5864507</v>
      </c>
      <c r="N25" s="66">
        <v>49457</v>
      </c>
      <c r="O25" s="68">
        <v>25775</v>
      </c>
      <c r="P25" s="70">
        <v>11078</v>
      </c>
      <c r="Q25" s="68">
        <v>168490</v>
      </c>
      <c r="R25" s="67">
        <v>0</v>
      </c>
      <c r="S25" s="70">
        <v>31392</v>
      </c>
      <c r="T25" s="70">
        <v>15211</v>
      </c>
      <c r="U25" s="70">
        <v>9856</v>
      </c>
      <c r="V25" s="70">
        <v>8588</v>
      </c>
      <c r="W25" s="70">
        <v>41613</v>
      </c>
      <c r="X25" s="68">
        <v>51732</v>
      </c>
      <c r="Y25" s="67">
        <v>41564</v>
      </c>
      <c r="Z25" s="68">
        <v>6449</v>
      </c>
      <c r="AA25" s="66">
        <v>102070</v>
      </c>
      <c r="AB25" s="70">
        <v>203269</v>
      </c>
      <c r="AC25" s="70">
        <v>24777</v>
      </c>
      <c r="AD25" s="70">
        <v>4976254</v>
      </c>
      <c r="AE25" s="66">
        <v>37448</v>
      </c>
      <c r="AF25" s="68">
        <v>4945</v>
      </c>
      <c r="AG25" s="67">
        <v>54539</v>
      </c>
      <c r="AH25" s="67">
        <v>2837907</v>
      </c>
      <c r="AI25" s="66">
        <v>2015026</v>
      </c>
      <c r="AJ25" s="66">
        <v>529177</v>
      </c>
      <c r="AK25" s="66">
        <v>1473853</v>
      </c>
      <c r="AL25" s="70">
        <v>11997</v>
      </c>
      <c r="AM25" s="66">
        <v>822881</v>
      </c>
      <c r="AN25" s="66">
        <v>101239</v>
      </c>
      <c r="AO25" s="68">
        <v>15572</v>
      </c>
      <c r="AP25" s="70">
        <v>15664</v>
      </c>
      <c r="AQ25" s="67">
        <v>140053</v>
      </c>
      <c r="AR25" s="66">
        <v>226016</v>
      </c>
      <c r="AS25" s="70">
        <v>9878</v>
      </c>
      <c r="AT25" s="66">
        <v>55601</v>
      </c>
      <c r="AU25" s="70">
        <v>3481</v>
      </c>
      <c r="AV25" s="70">
        <v>17485</v>
      </c>
      <c r="AW25" s="70">
        <v>37393</v>
      </c>
      <c r="AX25" s="68">
        <v>186774</v>
      </c>
      <c r="AY25" s="70">
        <v>13725</v>
      </c>
      <c r="AZ25" s="67">
        <v>0</v>
      </c>
      <c r="BA25" s="66">
        <v>398379</v>
      </c>
      <c r="BB25" s="70">
        <v>141932</v>
      </c>
      <c r="BC25" s="70">
        <v>41318</v>
      </c>
      <c r="BD25" s="70">
        <v>110097</v>
      </c>
      <c r="BE25" s="66">
        <v>0</v>
      </c>
      <c r="BF25" s="70">
        <v>43462</v>
      </c>
      <c r="BG25" s="68">
        <v>61570</v>
      </c>
      <c r="BH25" s="66">
        <v>336940</v>
      </c>
      <c r="BI25" s="68">
        <v>49111</v>
      </c>
      <c r="BJ25" s="70">
        <v>56813</v>
      </c>
      <c r="BK25" s="70">
        <v>140577</v>
      </c>
      <c r="BL25" s="70">
        <v>90025</v>
      </c>
      <c r="BM25" s="66">
        <v>0</v>
      </c>
      <c r="BN25" s="67">
        <v>415</v>
      </c>
      <c r="BO25" s="67">
        <v>3489509495</v>
      </c>
      <c r="BP25" s="66">
        <v>2418653768</v>
      </c>
      <c r="BQ25" s="66">
        <v>83612917</v>
      </c>
      <c r="BR25" s="67">
        <v>520509473</v>
      </c>
      <c r="BS25" s="67">
        <v>466733338</v>
      </c>
      <c r="BT25" s="66">
        <v>27429273</v>
      </c>
      <c r="BU25" s="66">
        <v>26905272</v>
      </c>
      <c r="BV25" s="66">
        <v>523701</v>
      </c>
      <c r="BW25" s="67">
        <v>300</v>
      </c>
      <c r="BX25" s="66">
        <v>1573668</v>
      </c>
      <c r="BY25" s="66">
        <v>1910452507</v>
      </c>
      <c r="BZ25" s="67">
        <v>221208</v>
      </c>
      <c r="CA25" s="66">
        <v>216981</v>
      </c>
      <c r="CB25" s="68">
        <v>4227</v>
      </c>
      <c r="CC25" s="68">
        <v>62366</v>
      </c>
      <c r="CD25" s="66">
        <v>129012</v>
      </c>
      <c r="CE25" s="70">
        <v>78496</v>
      </c>
      <c r="CF25" s="70">
        <v>23740</v>
      </c>
      <c r="CG25" s="70">
        <v>26776</v>
      </c>
      <c r="CH25" s="66">
        <v>123710</v>
      </c>
      <c r="CI25" s="68">
        <v>64884</v>
      </c>
      <c r="CJ25" s="68">
        <v>58826</v>
      </c>
      <c r="CK25" s="66">
        <v>1388433</v>
      </c>
      <c r="CL25" s="66">
        <v>655637</v>
      </c>
      <c r="CM25" s="66">
        <v>732796</v>
      </c>
      <c r="CN25" s="66">
        <v>241306</v>
      </c>
      <c r="CO25" s="70">
        <v>82831</v>
      </c>
      <c r="CP25" s="70">
        <v>73304</v>
      </c>
      <c r="CQ25" s="70">
        <v>85171</v>
      </c>
      <c r="CR25" s="68">
        <v>3916</v>
      </c>
    </row>
    <row r="26" spans="1:96" s="69" customFormat="1" ht="10.199999999999999" x14ac:dyDescent="0.2">
      <c r="A26" s="65" t="s">
        <v>212</v>
      </c>
      <c r="B26" s="66">
        <v>27168915167</v>
      </c>
      <c r="C26" s="66">
        <v>15043826</v>
      </c>
      <c r="D26" s="66">
        <v>10720829</v>
      </c>
      <c r="E26" s="66">
        <v>2811115</v>
      </c>
      <c r="F26" s="66">
        <v>1511882</v>
      </c>
      <c r="G26" s="66">
        <v>156167191</v>
      </c>
      <c r="H26" s="67">
        <v>163572618</v>
      </c>
      <c r="I26" s="66">
        <v>69419801</v>
      </c>
      <c r="J26" s="67">
        <v>33026020</v>
      </c>
      <c r="K26" s="66">
        <v>26747526</v>
      </c>
      <c r="L26" s="66">
        <v>9646255</v>
      </c>
      <c r="M26" s="66">
        <v>3105784076</v>
      </c>
      <c r="N26" s="66">
        <v>177388682</v>
      </c>
      <c r="O26" s="67">
        <v>108917601</v>
      </c>
      <c r="P26" s="66">
        <v>6858422</v>
      </c>
      <c r="Q26" s="67">
        <v>3562347</v>
      </c>
      <c r="R26" s="67">
        <v>1790656</v>
      </c>
      <c r="S26" s="66">
        <v>4209433</v>
      </c>
      <c r="T26" s="66">
        <v>102236752</v>
      </c>
      <c r="U26" s="66">
        <v>10757078</v>
      </c>
      <c r="V26" s="66">
        <v>622700521</v>
      </c>
      <c r="W26" s="66">
        <v>585923021</v>
      </c>
      <c r="X26" s="67">
        <v>26562965</v>
      </c>
      <c r="Y26" s="67">
        <v>33325004</v>
      </c>
      <c r="Z26" s="67">
        <v>64611452</v>
      </c>
      <c r="AA26" s="66">
        <v>126308159</v>
      </c>
      <c r="AB26" s="66">
        <v>113988555</v>
      </c>
      <c r="AC26" s="66">
        <v>330363532</v>
      </c>
      <c r="AD26" s="66">
        <v>442352002</v>
      </c>
      <c r="AE26" s="66">
        <v>275688710</v>
      </c>
      <c r="AF26" s="67">
        <v>4682039</v>
      </c>
      <c r="AG26" s="67">
        <v>63557145</v>
      </c>
      <c r="AH26" s="67">
        <v>683666913</v>
      </c>
      <c r="AI26" s="66">
        <v>458068718</v>
      </c>
      <c r="AJ26" s="66">
        <v>90591617</v>
      </c>
      <c r="AK26" s="66">
        <v>367127389</v>
      </c>
      <c r="AL26" s="66">
        <v>349713</v>
      </c>
      <c r="AM26" s="66">
        <v>225598195</v>
      </c>
      <c r="AN26" s="66">
        <v>12797058</v>
      </c>
      <c r="AO26" s="67">
        <v>1330766</v>
      </c>
      <c r="AP26" s="66">
        <v>6407000</v>
      </c>
      <c r="AQ26" s="67">
        <v>19766063</v>
      </c>
      <c r="AR26" s="66">
        <v>20009247</v>
      </c>
      <c r="AS26" s="66">
        <v>10027596</v>
      </c>
      <c r="AT26" s="66">
        <v>2545198</v>
      </c>
      <c r="AU26" s="66">
        <v>8134038</v>
      </c>
      <c r="AV26" s="66">
        <v>1975347</v>
      </c>
      <c r="AW26" s="66">
        <v>97508205</v>
      </c>
      <c r="AX26" s="67">
        <v>5845250</v>
      </c>
      <c r="AY26" s="66">
        <v>39252425</v>
      </c>
      <c r="AZ26" s="67">
        <v>0</v>
      </c>
      <c r="BA26" s="66">
        <v>67955097</v>
      </c>
      <c r="BB26" s="66">
        <v>29528354</v>
      </c>
      <c r="BC26" s="66">
        <v>6164506</v>
      </c>
      <c r="BD26" s="66">
        <v>1103204</v>
      </c>
      <c r="BE26" s="66">
        <v>1428210</v>
      </c>
      <c r="BF26" s="66">
        <v>20843687</v>
      </c>
      <c r="BG26" s="67">
        <v>8887136</v>
      </c>
      <c r="BH26" s="66">
        <v>625556433</v>
      </c>
      <c r="BI26" s="67">
        <v>59670847</v>
      </c>
      <c r="BJ26" s="66">
        <v>63108472</v>
      </c>
      <c r="BK26" s="66">
        <v>52887201</v>
      </c>
      <c r="BL26" s="66">
        <v>417802760</v>
      </c>
      <c r="BM26" s="66">
        <v>21329231</v>
      </c>
      <c r="BN26" s="67">
        <v>10757922</v>
      </c>
      <c r="BO26" s="67">
        <v>16867686512</v>
      </c>
      <c r="BP26" s="66">
        <v>648254412</v>
      </c>
      <c r="BQ26" s="66">
        <v>1903085434</v>
      </c>
      <c r="BR26" s="67">
        <v>4133520528</v>
      </c>
      <c r="BS26" s="67">
        <v>10182826137</v>
      </c>
      <c r="BT26" s="66">
        <v>320984112</v>
      </c>
      <c r="BU26" s="66">
        <v>296634684</v>
      </c>
      <c r="BV26" s="66">
        <v>17120418</v>
      </c>
      <c r="BW26" s="67">
        <v>7229011</v>
      </c>
      <c r="BX26" s="66">
        <v>148141672</v>
      </c>
      <c r="BY26" s="66">
        <v>4733523912</v>
      </c>
      <c r="BZ26" s="67">
        <v>44668179</v>
      </c>
      <c r="CA26" s="66">
        <v>41141237</v>
      </c>
      <c r="CB26" s="67">
        <v>3526942</v>
      </c>
      <c r="CC26" s="67">
        <v>6173332</v>
      </c>
      <c r="CD26" s="66">
        <v>52735640</v>
      </c>
      <c r="CE26" s="66">
        <v>16695520</v>
      </c>
      <c r="CF26" s="66">
        <v>4852879</v>
      </c>
      <c r="CG26" s="66">
        <v>31187241</v>
      </c>
      <c r="CH26" s="66">
        <v>13068908</v>
      </c>
      <c r="CI26" s="67">
        <v>4948130</v>
      </c>
      <c r="CJ26" s="67">
        <v>8120778</v>
      </c>
      <c r="CK26" s="66">
        <v>81262360</v>
      </c>
      <c r="CL26" s="66">
        <v>50694868</v>
      </c>
      <c r="CM26" s="66">
        <v>30567492</v>
      </c>
      <c r="CN26" s="66">
        <v>13471175</v>
      </c>
      <c r="CO26" s="66">
        <v>7498497</v>
      </c>
      <c r="CP26" s="66">
        <v>4997634</v>
      </c>
      <c r="CQ26" s="66">
        <v>975044</v>
      </c>
      <c r="CR26" s="68">
        <v>33410</v>
      </c>
    </row>
    <row r="27" spans="1:96" s="69" customFormat="1" ht="10.199999999999999" x14ac:dyDescent="0.2">
      <c r="A27" s="65" t="s">
        <v>300</v>
      </c>
      <c r="B27" s="66">
        <v>9466523654</v>
      </c>
      <c r="C27" s="66">
        <v>110414037</v>
      </c>
      <c r="D27" s="66">
        <v>87223140</v>
      </c>
      <c r="E27" s="66">
        <v>8130366</v>
      </c>
      <c r="F27" s="66">
        <v>15060532</v>
      </c>
      <c r="G27" s="66">
        <v>271965888</v>
      </c>
      <c r="H27" s="67">
        <v>1183730870</v>
      </c>
      <c r="I27" s="66">
        <v>282032779</v>
      </c>
      <c r="J27" s="67">
        <v>56018901</v>
      </c>
      <c r="K27" s="66">
        <v>94924381</v>
      </c>
      <c r="L27" s="66">
        <v>131089497</v>
      </c>
      <c r="M27" s="66">
        <v>2705052796</v>
      </c>
      <c r="N27" s="66">
        <v>177084483</v>
      </c>
      <c r="O27" s="67">
        <v>69299388</v>
      </c>
      <c r="P27" s="66">
        <v>18684884</v>
      </c>
      <c r="Q27" s="67">
        <v>11557036</v>
      </c>
      <c r="R27" s="67">
        <v>2013261</v>
      </c>
      <c r="S27" s="66">
        <v>34591030</v>
      </c>
      <c r="T27" s="66">
        <v>143890848</v>
      </c>
      <c r="U27" s="66">
        <v>47982035</v>
      </c>
      <c r="V27" s="66">
        <v>367329861</v>
      </c>
      <c r="W27" s="66">
        <v>395962799</v>
      </c>
      <c r="X27" s="67">
        <v>84604778</v>
      </c>
      <c r="Y27" s="67">
        <v>89518516</v>
      </c>
      <c r="Z27" s="67">
        <v>118873131</v>
      </c>
      <c r="AA27" s="66">
        <v>130509612</v>
      </c>
      <c r="AB27" s="66">
        <v>129638024</v>
      </c>
      <c r="AC27" s="66">
        <v>243013379</v>
      </c>
      <c r="AD27" s="66">
        <v>144987116</v>
      </c>
      <c r="AE27" s="66">
        <v>396373993</v>
      </c>
      <c r="AF27" s="67">
        <v>20891776</v>
      </c>
      <c r="AG27" s="67">
        <v>78246846</v>
      </c>
      <c r="AH27" s="67">
        <v>1139780988</v>
      </c>
      <c r="AI27" s="66">
        <v>486885374</v>
      </c>
      <c r="AJ27" s="66">
        <v>236813897</v>
      </c>
      <c r="AK27" s="66">
        <v>249368479</v>
      </c>
      <c r="AL27" s="66">
        <v>702998</v>
      </c>
      <c r="AM27" s="66">
        <v>652895614</v>
      </c>
      <c r="AN27" s="66">
        <v>61263082</v>
      </c>
      <c r="AO27" s="67">
        <v>20028737</v>
      </c>
      <c r="AP27" s="66">
        <v>16197036</v>
      </c>
      <c r="AQ27" s="67">
        <v>70572112</v>
      </c>
      <c r="AR27" s="66">
        <v>134393705</v>
      </c>
      <c r="AS27" s="66">
        <v>35006475</v>
      </c>
      <c r="AT27" s="66">
        <v>37532554</v>
      </c>
      <c r="AU27" s="66">
        <v>58232487</v>
      </c>
      <c r="AV27" s="66">
        <v>24422821</v>
      </c>
      <c r="AW27" s="66">
        <v>144695020</v>
      </c>
      <c r="AX27" s="67">
        <v>25589920</v>
      </c>
      <c r="AY27" s="66">
        <v>24961666</v>
      </c>
      <c r="AZ27" s="67">
        <v>0</v>
      </c>
      <c r="BA27" s="66">
        <v>583837637</v>
      </c>
      <c r="BB27" s="66">
        <v>354197670</v>
      </c>
      <c r="BC27" s="66">
        <v>95514283</v>
      </c>
      <c r="BD27" s="66">
        <v>13401379</v>
      </c>
      <c r="BE27" s="66">
        <v>14717589</v>
      </c>
      <c r="BF27" s="66">
        <v>89952416</v>
      </c>
      <c r="BG27" s="67">
        <v>16054299</v>
      </c>
      <c r="BH27" s="66">
        <v>938003763</v>
      </c>
      <c r="BI27" s="67">
        <v>88285834</v>
      </c>
      <c r="BJ27" s="66">
        <v>29040758</v>
      </c>
      <c r="BK27" s="66">
        <v>76270175</v>
      </c>
      <c r="BL27" s="66">
        <v>709768467</v>
      </c>
      <c r="BM27" s="66">
        <v>20755496</v>
      </c>
      <c r="BN27" s="67">
        <v>13883033</v>
      </c>
      <c r="BO27" s="67">
        <v>306120167</v>
      </c>
      <c r="BP27" s="66">
        <v>85518795</v>
      </c>
      <c r="BQ27" s="66">
        <v>63218219</v>
      </c>
      <c r="BR27" s="67">
        <v>133947447</v>
      </c>
      <c r="BS27" s="67">
        <v>23435706</v>
      </c>
      <c r="BT27" s="66">
        <v>855859334</v>
      </c>
      <c r="BU27" s="66">
        <v>674419717</v>
      </c>
      <c r="BV27" s="66">
        <v>180100845</v>
      </c>
      <c r="BW27" s="67">
        <v>1338773</v>
      </c>
      <c r="BX27" s="66">
        <v>170245068</v>
      </c>
      <c r="BY27" s="66">
        <v>206520135</v>
      </c>
      <c r="BZ27" s="67">
        <v>122861981</v>
      </c>
      <c r="CA27" s="66">
        <v>71643457</v>
      </c>
      <c r="CB27" s="67">
        <v>51218524</v>
      </c>
      <c r="CC27" s="67">
        <v>12889685</v>
      </c>
      <c r="CD27" s="66">
        <v>165053677</v>
      </c>
      <c r="CE27" s="66">
        <v>74751805</v>
      </c>
      <c r="CF27" s="66">
        <v>23965349</v>
      </c>
      <c r="CG27" s="66">
        <v>66336523</v>
      </c>
      <c r="CH27" s="66">
        <v>73947845</v>
      </c>
      <c r="CI27" s="67">
        <v>16922712</v>
      </c>
      <c r="CJ27" s="67">
        <v>57025132</v>
      </c>
      <c r="CK27" s="66">
        <v>270426886</v>
      </c>
      <c r="CL27" s="66">
        <v>127512737</v>
      </c>
      <c r="CM27" s="66">
        <v>142914149</v>
      </c>
      <c r="CN27" s="66">
        <v>67754116</v>
      </c>
      <c r="CO27" s="66">
        <v>28908536</v>
      </c>
      <c r="CP27" s="66">
        <v>33577654</v>
      </c>
      <c r="CQ27" s="66">
        <v>5267926</v>
      </c>
      <c r="CR27" s="68">
        <v>26000</v>
      </c>
    </row>
    <row r="28" spans="1:96" s="69" customFormat="1" ht="10.199999999999999" x14ac:dyDescent="0.2">
      <c r="A28" s="65" t="s">
        <v>301</v>
      </c>
      <c r="B28" s="66">
        <v>4514037135</v>
      </c>
      <c r="C28" s="66">
        <v>74808582</v>
      </c>
      <c r="D28" s="66">
        <v>58115800</v>
      </c>
      <c r="E28" s="66">
        <v>6056551</v>
      </c>
      <c r="F28" s="66">
        <v>10636231</v>
      </c>
      <c r="G28" s="66">
        <v>119810959</v>
      </c>
      <c r="H28" s="67">
        <v>385707282</v>
      </c>
      <c r="I28" s="66">
        <v>181016256</v>
      </c>
      <c r="J28" s="67">
        <v>30764820</v>
      </c>
      <c r="K28" s="66">
        <v>56128538</v>
      </c>
      <c r="L28" s="66">
        <v>94122898</v>
      </c>
      <c r="M28" s="66">
        <v>1521078765</v>
      </c>
      <c r="N28" s="66">
        <v>95079812</v>
      </c>
      <c r="O28" s="67">
        <v>38451638</v>
      </c>
      <c r="P28" s="66">
        <v>13077634</v>
      </c>
      <c r="Q28" s="67">
        <v>7352117</v>
      </c>
      <c r="R28" s="67">
        <v>1399863</v>
      </c>
      <c r="S28" s="66">
        <v>20765756</v>
      </c>
      <c r="T28" s="66">
        <v>81005875</v>
      </c>
      <c r="U28" s="66">
        <v>31952834</v>
      </c>
      <c r="V28" s="66">
        <v>188301971</v>
      </c>
      <c r="W28" s="66">
        <v>218146888</v>
      </c>
      <c r="X28" s="67">
        <v>52352974</v>
      </c>
      <c r="Y28" s="67">
        <v>43403013</v>
      </c>
      <c r="Z28" s="67">
        <v>60770439</v>
      </c>
      <c r="AA28" s="66">
        <v>84543421</v>
      </c>
      <c r="AB28" s="66">
        <v>78050628</v>
      </c>
      <c r="AC28" s="66">
        <v>155230443</v>
      </c>
      <c r="AD28" s="66">
        <v>83839838</v>
      </c>
      <c r="AE28" s="66">
        <v>208939486</v>
      </c>
      <c r="AF28" s="67">
        <v>13919827</v>
      </c>
      <c r="AG28" s="67">
        <v>44494309</v>
      </c>
      <c r="AH28" s="67">
        <v>565725132</v>
      </c>
      <c r="AI28" s="66">
        <v>250222478</v>
      </c>
      <c r="AJ28" s="66">
        <v>123993025</v>
      </c>
      <c r="AK28" s="66">
        <v>125765290</v>
      </c>
      <c r="AL28" s="66">
        <v>464163</v>
      </c>
      <c r="AM28" s="66">
        <v>315502654</v>
      </c>
      <c r="AN28" s="66">
        <v>32940310</v>
      </c>
      <c r="AO28" s="67">
        <v>10338001</v>
      </c>
      <c r="AP28" s="66">
        <v>9378003</v>
      </c>
      <c r="AQ28" s="67">
        <v>32048117</v>
      </c>
      <c r="AR28" s="66">
        <v>67310118</v>
      </c>
      <c r="AS28" s="66">
        <v>15646233</v>
      </c>
      <c r="AT28" s="66">
        <v>17827729</v>
      </c>
      <c r="AU28" s="66">
        <v>31279306</v>
      </c>
      <c r="AV28" s="66">
        <v>13337808</v>
      </c>
      <c r="AW28" s="66">
        <v>55092510</v>
      </c>
      <c r="AX28" s="67">
        <v>15135988</v>
      </c>
      <c r="AY28" s="66">
        <v>15168532</v>
      </c>
      <c r="AZ28" s="67">
        <v>0</v>
      </c>
      <c r="BA28" s="66">
        <v>219785491</v>
      </c>
      <c r="BB28" s="66">
        <v>94226991</v>
      </c>
      <c r="BC28" s="66">
        <v>57117757</v>
      </c>
      <c r="BD28" s="66">
        <v>7039367</v>
      </c>
      <c r="BE28" s="66">
        <v>5007705</v>
      </c>
      <c r="BF28" s="66">
        <v>49096446</v>
      </c>
      <c r="BG28" s="67">
        <v>7297225</v>
      </c>
      <c r="BH28" s="66">
        <v>540728314</v>
      </c>
      <c r="BI28" s="67">
        <v>53872010</v>
      </c>
      <c r="BJ28" s="66">
        <v>15657618</v>
      </c>
      <c r="BK28" s="66">
        <v>40329810</v>
      </c>
      <c r="BL28" s="66">
        <v>413434211</v>
      </c>
      <c r="BM28" s="66">
        <v>11168557</v>
      </c>
      <c r="BN28" s="67">
        <v>6266107</v>
      </c>
      <c r="BO28" s="67">
        <v>111493067</v>
      </c>
      <c r="BP28" s="66">
        <v>33311254</v>
      </c>
      <c r="BQ28" s="66">
        <v>34007792</v>
      </c>
      <c r="BR28" s="67">
        <v>39928734</v>
      </c>
      <c r="BS28" s="67">
        <v>4245287</v>
      </c>
      <c r="BT28" s="66">
        <v>242446522</v>
      </c>
      <c r="BU28" s="66">
        <v>165977820</v>
      </c>
      <c r="BV28" s="66">
        <v>75931080</v>
      </c>
      <c r="BW28" s="67">
        <v>537622</v>
      </c>
      <c r="BX28" s="66">
        <v>104795252</v>
      </c>
      <c r="BY28" s="66">
        <v>92851410</v>
      </c>
      <c r="BZ28" s="67">
        <v>71434437</v>
      </c>
      <c r="CA28" s="66">
        <v>44285973</v>
      </c>
      <c r="CB28" s="67">
        <v>27148464</v>
      </c>
      <c r="CC28" s="67">
        <v>6617745</v>
      </c>
      <c r="CD28" s="66">
        <v>89329356</v>
      </c>
      <c r="CE28" s="66">
        <v>50326260</v>
      </c>
      <c r="CF28" s="66">
        <v>13679544</v>
      </c>
      <c r="CG28" s="66">
        <v>25323552</v>
      </c>
      <c r="CH28" s="66">
        <v>35315406</v>
      </c>
      <c r="CI28" s="67">
        <v>8394769</v>
      </c>
      <c r="CJ28" s="67">
        <v>26920636</v>
      </c>
      <c r="CK28" s="66">
        <v>111122155</v>
      </c>
      <c r="CL28" s="66">
        <v>38837262</v>
      </c>
      <c r="CM28" s="66">
        <v>72284893</v>
      </c>
      <c r="CN28" s="66">
        <v>39967876</v>
      </c>
      <c r="CO28" s="66">
        <v>18691672</v>
      </c>
      <c r="CP28" s="66">
        <v>18584339</v>
      </c>
      <c r="CQ28" s="66">
        <v>2691865</v>
      </c>
      <c r="CR28" s="68">
        <v>3127</v>
      </c>
    </row>
    <row r="29" spans="1:96" s="69" customFormat="1" ht="10.199999999999999" x14ac:dyDescent="0.2">
      <c r="A29" s="65" t="s">
        <v>213</v>
      </c>
      <c r="B29" s="66">
        <v>587260196</v>
      </c>
      <c r="C29" s="66">
        <v>4823266</v>
      </c>
      <c r="D29" s="66">
        <v>127489</v>
      </c>
      <c r="E29" s="66">
        <v>4671023</v>
      </c>
      <c r="F29" s="70">
        <v>24755</v>
      </c>
      <c r="G29" s="66">
        <v>373718815</v>
      </c>
      <c r="H29" s="67">
        <v>18428921</v>
      </c>
      <c r="I29" s="66">
        <v>1803756</v>
      </c>
      <c r="J29" s="67">
        <v>141807</v>
      </c>
      <c r="K29" s="66">
        <v>1461660</v>
      </c>
      <c r="L29" s="66">
        <v>200289</v>
      </c>
      <c r="M29" s="66">
        <v>131664553</v>
      </c>
      <c r="N29" s="66">
        <v>18983</v>
      </c>
      <c r="O29" s="67">
        <v>92292</v>
      </c>
      <c r="P29" s="66">
        <v>0</v>
      </c>
      <c r="Q29" s="68">
        <v>6740</v>
      </c>
      <c r="R29" s="67">
        <v>0</v>
      </c>
      <c r="S29" s="66">
        <v>2847216</v>
      </c>
      <c r="T29" s="66">
        <v>4969346</v>
      </c>
      <c r="U29" s="66">
        <v>0</v>
      </c>
      <c r="V29" s="66">
        <v>110451563</v>
      </c>
      <c r="W29" s="66">
        <v>2110251</v>
      </c>
      <c r="X29" s="67">
        <v>788</v>
      </c>
      <c r="Y29" s="67">
        <v>9649328</v>
      </c>
      <c r="Z29" s="67">
        <v>1146625</v>
      </c>
      <c r="AA29" s="70">
        <v>51989</v>
      </c>
      <c r="AB29" s="70">
        <v>235126</v>
      </c>
      <c r="AC29" s="70">
        <v>1924</v>
      </c>
      <c r="AD29" s="70">
        <v>19340</v>
      </c>
      <c r="AE29" s="66">
        <v>45360</v>
      </c>
      <c r="AF29" s="68">
        <v>3053</v>
      </c>
      <c r="AG29" s="68">
        <v>14629</v>
      </c>
      <c r="AH29" s="67">
        <v>48917391</v>
      </c>
      <c r="AI29" s="66">
        <v>48712766</v>
      </c>
      <c r="AJ29" s="66">
        <v>862383</v>
      </c>
      <c r="AK29" s="66">
        <v>47850383</v>
      </c>
      <c r="AL29" s="66">
        <v>0</v>
      </c>
      <c r="AM29" s="66">
        <v>204625</v>
      </c>
      <c r="AN29" s="70">
        <v>8495</v>
      </c>
      <c r="AO29" s="67">
        <v>0</v>
      </c>
      <c r="AP29" s="66">
        <v>0</v>
      </c>
      <c r="AQ29" s="68">
        <v>59103</v>
      </c>
      <c r="AR29" s="70">
        <v>10712</v>
      </c>
      <c r="AS29" s="70">
        <v>2622</v>
      </c>
      <c r="AT29" s="70">
        <v>123434</v>
      </c>
      <c r="AU29" s="66">
        <v>0</v>
      </c>
      <c r="AV29" s="66">
        <v>0</v>
      </c>
      <c r="AW29" s="66">
        <v>0</v>
      </c>
      <c r="AX29" s="67">
        <v>0</v>
      </c>
      <c r="AY29" s="70">
        <v>258</v>
      </c>
      <c r="AZ29" s="67">
        <v>0</v>
      </c>
      <c r="BA29" s="66">
        <v>94944</v>
      </c>
      <c r="BB29" s="70">
        <v>68</v>
      </c>
      <c r="BC29" s="70">
        <v>70555</v>
      </c>
      <c r="BD29" s="66">
        <v>737</v>
      </c>
      <c r="BE29" s="70">
        <v>2130</v>
      </c>
      <c r="BF29" s="70">
        <v>15428</v>
      </c>
      <c r="BG29" s="68">
        <v>6025</v>
      </c>
      <c r="BH29" s="66">
        <v>199917</v>
      </c>
      <c r="BI29" s="68">
        <v>37421</v>
      </c>
      <c r="BJ29" s="66">
        <v>133377</v>
      </c>
      <c r="BK29" s="66">
        <v>600</v>
      </c>
      <c r="BL29" s="70">
        <v>11272</v>
      </c>
      <c r="BM29" s="66">
        <v>17247</v>
      </c>
      <c r="BN29" s="67">
        <v>0</v>
      </c>
      <c r="BO29" s="67">
        <v>3171533</v>
      </c>
      <c r="BP29" s="70">
        <v>2321</v>
      </c>
      <c r="BQ29" s="66">
        <v>261588</v>
      </c>
      <c r="BR29" s="67">
        <v>2800377</v>
      </c>
      <c r="BS29" s="68">
        <v>107246</v>
      </c>
      <c r="BT29" s="66">
        <v>1276069</v>
      </c>
      <c r="BU29" s="66">
        <v>1199204</v>
      </c>
      <c r="BV29" s="70">
        <v>43093</v>
      </c>
      <c r="BW29" s="68">
        <v>33772</v>
      </c>
      <c r="BX29" s="66">
        <v>195352</v>
      </c>
      <c r="BY29" s="66">
        <v>727453</v>
      </c>
      <c r="BZ29" s="67">
        <v>2110825</v>
      </c>
      <c r="CA29" s="70">
        <v>13822</v>
      </c>
      <c r="CB29" s="68">
        <v>2097003</v>
      </c>
      <c r="CC29" s="68">
        <v>4158</v>
      </c>
      <c r="CD29" s="70">
        <v>11442</v>
      </c>
      <c r="CE29" s="66">
        <v>0</v>
      </c>
      <c r="CF29" s="66">
        <v>0</v>
      </c>
      <c r="CG29" s="70">
        <v>11442</v>
      </c>
      <c r="CH29" s="70">
        <v>1972</v>
      </c>
      <c r="CI29" s="68">
        <v>368</v>
      </c>
      <c r="CJ29" s="68">
        <v>1603</v>
      </c>
      <c r="CK29" s="66">
        <v>109135</v>
      </c>
      <c r="CL29" s="70">
        <v>82640</v>
      </c>
      <c r="CM29" s="70">
        <v>26495</v>
      </c>
      <c r="CN29" s="70">
        <v>695</v>
      </c>
      <c r="CO29" s="66">
        <v>0</v>
      </c>
      <c r="CP29" s="70">
        <v>695</v>
      </c>
      <c r="CQ29" s="66">
        <v>0</v>
      </c>
      <c r="CR29" s="67">
        <v>0</v>
      </c>
    </row>
    <row r="30" spans="1:96" s="69" customFormat="1" ht="10.199999999999999" x14ac:dyDescent="0.2">
      <c r="A30" s="65" t="s">
        <v>214</v>
      </c>
      <c r="B30" s="66">
        <v>214528294</v>
      </c>
      <c r="C30" s="66">
        <v>451028</v>
      </c>
      <c r="D30" s="66">
        <v>29003</v>
      </c>
      <c r="E30" s="66">
        <v>415064</v>
      </c>
      <c r="F30" s="70">
        <v>6962</v>
      </c>
      <c r="G30" s="66">
        <v>141238513</v>
      </c>
      <c r="H30" s="67">
        <v>5806635</v>
      </c>
      <c r="I30" s="66">
        <v>494474</v>
      </c>
      <c r="J30" s="67">
        <v>43506</v>
      </c>
      <c r="K30" s="66">
        <v>387475</v>
      </c>
      <c r="L30" s="66">
        <v>63493</v>
      </c>
      <c r="M30" s="66">
        <v>56502324</v>
      </c>
      <c r="N30" s="66">
        <v>4314</v>
      </c>
      <c r="O30" s="67">
        <v>33583</v>
      </c>
      <c r="P30" s="66">
        <v>0</v>
      </c>
      <c r="Q30" s="67">
        <v>0</v>
      </c>
      <c r="R30" s="67">
        <v>0</v>
      </c>
      <c r="S30" s="66">
        <v>107052</v>
      </c>
      <c r="T30" s="66">
        <v>411694</v>
      </c>
      <c r="U30" s="66">
        <v>0</v>
      </c>
      <c r="V30" s="66">
        <v>53920007</v>
      </c>
      <c r="W30" s="66">
        <v>776943</v>
      </c>
      <c r="X30" s="67">
        <v>554</v>
      </c>
      <c r="Y30" s="67">
        <v>887109</v>
      </c>
      <c r="Z30" s="67">
        <v>190975</v>
      </c>
      <c r="AA30" s="66">
        <v>10632</v>
      </c>
      <c r="AB30" s="70">
        <v>135493</v>
      </c>
      <c r="AC30" s="66">
        <v>0</v>
      </c>
      <c r="AD30" s="70">
        <v>5904</v>
      </c>
      <c r="AE30" s="66">
        <v>12375</v>
      </c>
      <c r="AF30" s="67">
        <v>266</v>
      </c>
      <c r="AG30" s="68">
        <v>5424</v>
      </c>
      <c r="AH30" s="67">
        <v>7526709</v>
      </c>
      <c r="AI30" s="66">
        <v>7427229</v>
      </c>
      <c r="AJ30" s="66">
        <v>171539</v>
      </c>
      <c r="AK30" s="66">
        <v>7255690</v>
      </c>
      <c r="AL30" s="66">
        <v>0</v>
      </c>
      <c r="AM30" s="66">
        <v>99480</v>
      </c>
      <c r="AN30" s="70">
        <v>7161</v>
      </c>
      <c r="AO30" s="67">
        <v>0</v>
      </c>
      <c r="AP30" s="66">
        <v>0</v>
      </c>
      <c r="AQ30" s="68">
        <v>34862</v>
      </c>
      <c r="AR30" s="70">
        <v>4734</v>
      </c>
      <c r="AS30" s="70">
        <v>1835</v>
      </c>
      <c r="AT30" s="70">
        <v>50846</v>
      </c>
      <c r="AU30" s="66">
        <v>0</v>
      </c>
      <c r="AV30" s="66">
        <v>0</v>
      </c>
      <c r="AW30" s="66">
        <v>0</v>
      </c>
      <c r="AX30" s="67">
        <v>0</v>
      </c>
      <c r="AY30" s="70">
        <v>42</v>
      </c>
      <c r="AZ30" s="67">
        <v>0</v>
      </c>
      <c r="BA30" s="66">
        <v>64556</v>
      </c>
      <c r="BB30" s="66">
        <v>0</v>
      </c>
      <c r="BC30" s="70">
        <v>50131</v>
      </c>
      <c r="BD30" s="66">
        <v>675</v>
      </c>
      <c r="BE30" s="70">
        <v>2130</v>
      </c>
      <c r="BF30" s="70">
        <v>10922</v>
      </c>
      <c r="BG30" s="68">
        <v>698</v>
      </c>
      <c r="BH30" s="66">
        <v>114510</v>
      </c>
      <c r="BI30" s="68">
        <v>24526</v>
      </c>
      <c r="BJ30" s="66">
        <v>66995</v>
      </c>
      <c r="BK30" s="66">
        <v>600</v>
      </c>
      <c r="BL30" s="70">
        <v>5142</v>
      </c>
      <c r="BM30" s="66">
        <v>17247</v>
      </c>
      <c r="BN30" s="67">
        <v>0</v>
      </c>
      <c r="BO30" s="67">
        <v>1073817</v>
      </c>
      <c r="BP30" s="70">
        <v>1168</v>
      </c>
      <c r="BQ30" s="66">
        <v>110422</v>
      </c>
      <c r="BR30" s="67">
        <v>953333</v>
      </c>
      <c r="BS30" s="68">
        <v>8894</v>
      </c>
      <c r="BT30" s="66">
        <v>129017</v>
      </c>
      <c r="BU30" s="66">
        <v>129017</v>
      </c>
      <c r="BV30" s="66">
        <v>0</v>
      </c>
      <c r="BW30" s="67">
        <v>0</v>
      </c>
      <c r="BX30" s="66">
        <v>80775</v>
      </c>
      <c r="BY30" s="66">
        <v>177984</v>
      </c>
      <c r="BZ30" s="67">
        <v>840491</v>
      </c>
      <c r="CA30" s="70">
        <v>10071</v>
      </c>
      <c r="CB30" s="68">
        <v>830420</v>
      </c>
      <c r="CC30" s="68">
        <v>3929</v>
      </c>
      <c r="CD30" s="66">
        <v>112</v>
      </c>
      <c r="CE30" s="66">
        <v>0</v>
      </c>
      <c r="CF30" s="66">
        <v>0</v>
      </c>
      <c r="CG30" s="66">
        <v>112</v>
      </c>
      <c r="CH30" s="70">
        <v>457</v>
      </c>
      <c r="CI30" s="68">
        <v>329</v>
      </c>
      <c r="CJ30" s="68">
        <v>128</v>
      </c>
      <c r="CK30" s="70">
        <v>22898</v>
      </c>
      <c r="CL30" s="70">
        <v>8684</v>
      </c>
      <c r="CM30" s="70">
        <v>14214</v>
      </c>
      <c r="CN30" s="70">
        <v>65</v>
      </c>
      <c r="CO30" s="66">
        <v>0</v>
      </c>
      <c r="CP30" s="70">
        <v>65</v>
      </c>
      <c r="CQ30" s="66">
        <v>0</v>
      </c>
      <c r="CR30" s="67">
        <v>0</v>
      </c>
    </row>
    <row r="31" spans="1:96" s="69" customFormat="1" ht="10.199999999999999" x14ac:dyDescent="0.2">
      <c r="A31" s="65" t="s">
        <v>215</v>
      </c>
      <c r="B31" s="66">
        <v>509031710</v>
      </c>
      <c r="C31" s="66">
        <v>23753594</v>
      </c>
      <c r="D31" s="66">
        <v>20606415</v>
      </c>
      <c r="E31" s="66">
        <v>2296509</v>
      </c>
      <c r="F31" s="66">
        <v>850671</v>
      </c>
      <c r="G31" s="66">
        <v>10433748</v>
      </c>
      <c r="H31" s="67">
        <v>4096242</v>
      </c>
      <c r="I31" s="66">
        <v>31686560</v>
      </c>
      <c r="J31" s="67">
        <v>12632016</v>
      </c>
      <c r="K31" s="66">
        <v>16390741</v>
      </c>
      <c r="L31" s="66">
        <v>2663803</v>
      </c>
      <c r="M31" s="66">
        <v>57783704</v>
      </c>
      <c r="N31" s="66">
        <v>4440840</v>
      </c>
      <c r="O31" s="67">
        <v>2738367</v>
      </c>
      <c r="P31" s="66">
        <v>258254</v>
      </c>
      <c r="Q31" s="67">
        <v>224989</v>
      </c>
      <c r="R31" s="67">
        <v>17316</v>
      </c>
      <c r="S31" s="66">
        <v>1347335</v>
      </c>
      <c r="T31" s="66">
        <v>1854387</v>
      </c>
      <c r="U31" s="66">
        <v>464413</v>
      </c>
      <c r="V31" s="66">
        <v>7292482</v>
      </c>
      <c r="W31" s="66">
        <v>8577610</v>
      </c>
      <c r="X31" s="67">
        <v>1062311</v>
      </c>
      <c r="Y31" s="67">
        <v>5510532</v>
      </c>
      <c r="Z31" s="67">
        <v>2744012</v>
      </c>
      <c r="AA31" s="66">
        <v>2474031</v>
      </c>
      <c r="AB31" s="66">
        <v>2370359</v>
      </c>
      <c r="AC31" s="66">
        <v>5902309</v>
      </c>
      <c r="AD31" s="66">
        <v>2641837</v>
      </c>
      <c r="AE31" s="66">
        <v>5383776</v>
      </c>
      <c r="AF31" s="67">
        <v>597955</v>
      </c>
      <c r="AG31" s="67">
        <v>1880590</v>
      </c>
      <c r="AH31" s="67">
        <v>87303631</v>
      </c>
      <c r="AI31" s="66">
        <v>26765455</v>
      </c>
      <c r="AJ31" s="66">
        <v>7796385</v>
      </c>
      <c r="AK31" s="66">
        <v>18933966</v>
      </c>
      <c r="AL31" s="70">
        <v>35104</v>
      </c>
      <c r="AM31" s="66">
        <v>60538176</v>
      </c>
      <c r="AN31" s="66">
        <v>6722960</v>
      </c>
      <c r="AO31" s="67">
        <v>1358970</v>
      </c>
      <c r="AP31" s="66">
        <v>473067</v>
      </c>
      <c r="AQ31" s="67">
        <v>11961640</v>
      </c>
      <c r="AR31" s="66">
        <v>10087631</v>
      </c>
      <c r="AS31" s="66">
        <v>3160183</v>
      </c>
      <c r="AT31" s="66">
        <v>6175015</v>
      </c>
      <c r="AU31" s="66">
        <v>1106344</v>
      </c>
      <c r="AV31" s="66">
        <v>1008203</v>
      </c>
      <c r="AW31" s="66">
        <v>17172174</v>
      </c>
      <c r="AX31" s="67">
        <v>762043</v>
      </c>
      <c r="AY31" s="66">
        <v>549948</v>
      </c>
      <c r="AZ31" s="67">
        <v>0</v>
      </c>
      <c r="BA31" s="66">
        <v>10169368</v>
      </c>
      <c r="BB31" s="66">
        <v>4015137</v>
      </c>
      <c r="BC31" s="66">
        <v>2916833</v>
      </c>
      <c r="BD31" s="66">
        <v>355087</v>
      </c>
      <c r="BE31" s="66">
        <v>63070</v>
      </c>
      <c r="BF31" s="66">
        <v>1940855</v>
      </c>
      <c r="BG31" s="67">
        <v>878385</v>
      </c>
      <c r="BH31" s="66">
        <v>13108755</v>
      </c>
      <c r="BI31" s="67">
        <v>3217244</v>
      </c>
      <c r="BJ31" s="66">
        <v>1730327</v>
      </c>
      <c r="BK31" s="66">
        <v>2492486</v>
      </c>
      <c r="BL31" s="66">
        <v>5125633</v>
      </c>
      <c r="BM31" s="66">
        <v>322390</v>
      </c>
      <c r="BN31" s="67">
        <v>220675</v>
      </c>
      <c r="BO31" s="67">
        <v>14227046</v>
      </c>
      <c r="BP31" s="66">
        <v>4599379</v>
      </c>
      <c r="BQ31" s="66">
        <v>2286388</v>
      </c>
      <c r="BR31" s="67">
        <v>3069194</v>
      </c>
      <c r="BS31" s="67">
        <v>4272086</v>
      </c>
      <c r="BT31" s="66">
        <v>166513163</v>
      </c>
      <c r="BU31" s="66">
        <v>164363855</v>
      </c>
      <c r="BV31" s="66">
        <v>1918228</v>
      </c>
      <c r="BW31" s="67">
        <v>231080</v>
      </c>
      <c r="BX31" s="66">
        <v>4264393</v>
      </c>
      <c r="BY31" s="66">
        <v>19601723</v>
      </c>
      <c r="BZ31" s="67">
        <v>4001045</v>
      </c>
      <c r="CA31" s="66">
        <v>2007588</v>
      </c>
      <c r="CB31" s="67">
        <v>1993457</v>
      </c>
      <c r="CC31" s="67">
        <v>412647</v>
      </c>
      <c r="CD31" s="66">
        <v>6173903</v>
      </c>
      <c r="CE31" s="66">
        <v>1014911</v>
      </c>
      <c r="CF31" s="66">
        <v>730424</v>
      </c>
      <c r="CG31" s="66">
        <v>4428567</v>
      </c>
      <c r="CH31" s="66">
        <v>7912318</v>
      </c>
      <c r="CI31" s="67">
        <v>1557756</v>
      </c>
      <c r="CJ31" s="67">
        <v>6354562</v>
      </c>
      <c r="CK31" s="66">
        <v>40587560</v>
      </c>
      <c r="CL31" s="66">
        <v>31488278</v>
      </c>
      <c r="CM31" s="66">
        <v>9099282</v>
      </c>
      <c r="CN31" s="66">
        <v>7002309</v>
      </c>
      <c r="CO31" s="66">
        <v>2219751</v>
      </c>
      <c r="CP31" s="66">
        <v>3678655</v>
      </c>
      <c r="CQ31" s="66">
        <v>1103904</v>
      </c>
      <c r="CR31" s="67">
        <v>0</v>
      </c>
    </row>
    <row r="32" spans="1:96" s="69" customFormat="1" ht="10.199999999999999" x14ac:dyDescent="0.2">
      <c r="A32" s="65" t="s">
        <v>216</v>
      </c>
      <c r="B32" s="66">
        <v>4156369240</v>
      </c>
      <c r="C32" s="66">
        <v>3666957</v>
      </c>
      <c r="D32" s="66">
        <v>2871554</v>
      </c>
      <c r="E32" s="66">
        <v>69992</v>
      </c>
      <c r="F32" s="66">
        <v>725411</v>
      </c>
      <c r="G32" s="66">
        <v>54270547</v>
      </c>
      <c r="H32" s="67">
        <v>62004775</v>
      </c>
      <c r="I32" s="66">
        <v>23550342</v>
      </c>
      <c r="J32" s="67">
        <v>5238442</v>
      </c>
      <c r="K32" s="66">
        <v>7281207</v>
      </c>
      <c r="L32" s="66">
        <v>11030694</v>
      </c>
      <c r="M32" s="66">
        <v>1346128809</v>
      </c>
      <c r="N32" s="66">
        <v>111499059</v>
      </c>
      <c r="O32" s="67">
        <v>54440165</v>
      </c>
      <c r="P32" s="66">
        <v>3048385</v>
      </c>
      <c r="Q32" s="67">
        <v>6709194</v>
      </c>
      <c r="R32" s="67">
        <v>671180</v>
      </c>
      <c r="S32" s="66">
        <v>3902665</v>
      </c>
      <c r="T32" s="66">
        <v>24330921</v>
      </c>
      <c r="U32" s="66">
        <v>13148551</v>
      </c>
      <c r="V32" s="66">
        <v>71145646</v>
      </c>
      <c r="W32" s="66">
        <v>285947205</v>
      </c>
      <c r="X32" s="67">
        <v>21683675</v>
      </c>
      <c r="Y32" s="67">
        <v>29186422</v>
      </c>
      <c r="Z32" s="67">
        <v>31734053</v>
      </c>
      <c r="AA32" s="66">
        <v>53655554</v>
      </c>
      <c r="AB32" s="66">
        <v>84414729</v>
      </c>
      <c r="AC32" s="66">
        <v>218526091</v>
      </c>
      <c r="AD32" s="66">
        <v>90960773</v>
      </c>
      <c r="AE32" s="66">
        <v>132037364</v>
      </c>
      <c r="AF32" s="67">
        <v>4624747</v>
      </c>
      <c r="AG32" s="67">
        <v>104462427</v>
      </c>
      <c r="AH32" s="67">
        <v>408957520</v>
      </c>
      <c r="AI32" s="66">
        <v>222218293</v>
      </c>
      <c r="AJ32" s="66">
        <v>84459253</v>
      </c>
      <c r="AK32" s="66">
        <v>137341338</v>
      </c>
      <c r="AL32" s="66">
        <v>417702</v>
      </c>
      <c r="AM32" s="66">
        <v>186739227</v>
      </c>
      <c r="AN32" s="66">
        <v>12789951</v>
      </c>
      <c r="AO32" s="67">
        <v>2751544</v>
      </c>
      <c r="AP32" s="66">
        <v>5172991</v>
      </c>
      <c r="AQ32" s="67">
        <v>4291591</v>
      </c>
      <c r="AR32" s="66">
        <v>18240680</v>
      </c>
      <c r="AS32" s="66">
        <v>57529966</v>
      </c>
      <c r="AT32" s="66">
        <v>3719272</v>
      </c>
      <c r="AU32" s="66">
        <v>10630056</v>
      </c>
      <c r="AV32" s="66">
        <v>5091850</v>
      </c>
      <c r="AW32" s="66">
        <v>17263995</v>
      </c>
      <c r="AX32" s="67">
        <v>11297631</v>
      </c>
      <c r="AY32" s="66">
        <v>37959700</v>
      </c>
      <c r="AZ32" s="67">
        <v>0</v>
      </c>
      <c r="BA32" s="66">
        <v>68461130</v>
      </c>
      <c r="BB32" s="66">
        <v>29570050</v>
      </c>
      <c r="BC32" s="66">
        <v>6497887</v>
      </c>
      <c r="BD32" s="66">
        <v>5928925</v>
      </c>
      <c r="BE32" s="66">
        <v>5594261</v>
      </c>
      <c r="BF32" s="66">
        <v>16938594</v>
      </c>
      <c r="BG32" s="67">
        <v>3931413</v>
      </c>
      <c r="BH32" s="66">
        <v>833447422</v>
      </c>
      <c r="BI32" s="67">
        <v>226325290</v>
      </c>
      <c r="BJ32" s="66">
        <v>46128388</v>
      </c>
      <c r="BK32" s="66">
        <v>129806235</v>
      </c>
      <c r="BL32" s="66">
        <v>390150169</v>
      </c>
      <c r="BM32" s="66">
        <v>21537084</v>
      </c>
      <c r="BN32" s="67">
        <v>19500255</v>
      </c>
      <c r="BO32" s="67">
        <v>345323697</v>
      </c>
      <c r="BP32" s="66">
        <v>95320599</v>
      </c>
      <c r="BQ32" s="66">
        <v>109551296</v>
      </c>
      <c r="BR32" s="67">
        <v>138875007</v>
      </c>
      <c r="BS32" s="67">
        <v>1576795</v>
      </c>
      <c r="BT32" s="66">
        <v>63105809</v>
      </c>
      <c r="BU32" s="66">
        <v>35286700</v>
      </c>
      <c r="BV32" s="66">
        <v>21080054</v>
      </c>
      <c r="BW32" s="67">
        <v>6739054</v>
      </c>
      <c r="BX32" s="66">
        <v>216594972</v>
      </c>
      <c r="BY32" s="66">
        <v>437146064</v>
      </c>
      <c r="BZ32" s="67">
        <v>91681473</v>
      </c>
      <c r="CA32" s="66">
        <v>70949872</v>
      </c>
      <c r="CB32" s="67">
        <v>20731601</v>
      </c>
      <c r="CC32" s="67">
        <v>11511185</v>
      </c>
      <c r="CD32" s="66">
        <v>80403384</v>
      </c>
      <c r="CE32" s="66">
        <v>31438402</v>
      </c>
      <c r="CF32" s="66">
        <v>25436315</v>
      </c>
      <c r="CG32" s="66">
        <v>23528666</v>
      </c>
      <c r="CH32" s="66">
        <v>15089775</v>
      </c>
      <c r="CI32" s="67">
        <v>5330811</v>
      </c>
      <c r="CJ32" s="67">
        <v>9758964</v>
      </c>
      <c r="CK32" s="66">
        <v>74248445</v>
      </c>
      <c r="CL32" s="66">
        <v>29990734</v>
      </c>
      <c r="CM32" s="66">
        <v>44257711</v>
      </c>
      <c r="CN32" s="66">
        <v>20776935</v>
      </c>
      <c r="CO32" s="66">
        <v>8581305</v>
      </c>
      <c r="CP32" s="66">
        <v>11992225</v>
      </c>
      <c r="CQ32" s="66">
        <v>203405</v>
      </c>
      <c r="CR32" s="67">
        <v>0</v>
      </c>
    </row>
    <row r="33" spans="1:96" s="69" customFormat="1" ht="10.199999999999999" x14ac:dyDescent="0.2">
      <c r="A33" s="65" t="s">
        <v>217</v>
      </c>
      <c r="B33" s="66">
        <v>668598994</v>
      </c>
      <c r="C33" s="66">
        <v>826186</v>
      </c>
      <c r="D33" s="66">
        <v>532271</v>
      </c>
      <c r="E33" s="66">
        <v>43865</v>
      </c>
      <c r="F33" s="66">
        <v>250050</v>
      </c>
      <c r="G33" s="66">
        <v>13920325</v>
      </c>
      <c r="H33" s="67">
        <v>5994625</v>
      </c>
      <c r="I33" s="66">
        <v>4155048</v>
      </c>
      <c r="J33" s="67">
        <v>1613421</v>
      </c>
      <c r="K33" s="66">
        <v>750196</v>
      </c>
      <c r="L33" s="66">
        <v>1791430</v>
      </c>
      <c r="M33" s="66">
        <v>256132330</v>
      </c>
      <c r="N33" s="66">
        <v>8225338</v>
      </c>
      <c r="O33" s="67">
        <v>15686734</v>
      </c>
      <c r="P33" s="66">
        <v>625694</v>
      </c>
      <c r="Q33" s="67">
        <v>1753900</v>
      </c>
      <c r="R33" s="67">
        <v>111961</v>
      </c>
      <c r="S33" s="66">
        <v>589388</v>
      </c>
      <c r="T33" s="66">
        <v>4926597</v>
      </c>
      <c r="U33" s="66">
        <v>2483104</v>
      </c>
      <c r="V33" s="66">
        <v>34782453</v>
      </c>
      <c r="W33" s="66">
        <v>53105712</v>
      </c>
      <c r="X33" s="67">
        <v>3533632</v>
      </c>
      <c r="Y33" s="67">
        <v>3294218</v>
      </c>
      <c r="Z33" s="67">
        <v>2944521</v>
      </c>
      <c r="AA33" s="66">
        <v>6047523</v>
      </c>
      <c r="AB33" s="66">
        <v>14293909</v>
      </c>
      <c r="AC33" s="66">
        <v>50312002</v>
      </c>
      <c r="AD33" s="66">
        <v>13335333</v>
      </c>
      <c r="AE33" s="66">
        <v>22453496</v>
      </c>
      <c r="AF33" s="67">
        <v>1124800</v>
      </c>
      <c r="AG33" s="67">
        <v>16502017</v>
      </c>
      <c r="AH33" s="67">
        <v>55260136</v>
      </c>
      <c r="AI33" s="66">
        <v>33597554</v>
      </c>
      <c r="AJ33" s="66">
        <v>13305440</v>
      </c>
      <c r="AK33" s="66">
        <v>20162870</v>
      </c>
      <c r="AL33" s="66">
        <v>129244</v>
      </c>
      <c r="AM33" s="66">
        <v>21662582</v>
      </c>
      <c r="AN33" s="66">
        <v>1609006</v>
      </c>
      <c r="AO33" s="67">
        <v>745150</v>
      </c>
      <c r="AP33" s="66">
        <v>926104</v>
      </c>
      <c r="AQ33" s="67">
        <v>696486</v>
      </c>
      <c r="AR33" s="66">
        <v>2792288</v>
      </c>
      <c r="AS33" s="66">
        <v>3325697</v>
      </c>
      <c r="AT33" s="66">
        <v>953234</v>
      </c>
      <c r="AU33" s="66">
        <v>1441813</v>
      </c>
      <c r="AV33" s="66">
        <v>961677</v>
      </c>
      <c r="AW33" s="66">
        <v>949769</v>
      </c>
      <c r="AX33" s="67">
        <v>1997117</v>
      </c>
      <c r="AY33" s="66">
        <v>5264240</v>
      </c>
      <c r="AZ33" s="67">
        <v>0</v>
      </c>
      <c r="BA33" s="66">
        <v>8383453</v>
      </c>
      <c r="BB33" s="66">
        <v>2221763</v>
      </c>
      <c r="BC33" s="66">
        <v>1348285</v>
      </c>
      <c r="BD33" s="66">
        <v>1001265</v>
      </c>
      <c r="BE33" s="66">
        <v>53866</v>
      </c>
      <c r="BF33" s="66">
        <v>3321535</v>
      </c>
      <c r="BG33" s="67">
        <v>436739</v>
      </c>
      <c r="BH33" s="66">
        <v>132364393</v>
      </c>
      <c r="BI33" s="67">
        <v>45315986</v>
      </c>
      <c r="BJ33" s="66">
        <v>6740217</v>
      </c>
      <c r="BK33" s="66">
        <v>13803088</v>
      </c>
      <c r="BL33" s="66">
        <v>59428095</v>
      </c>
      <c r="BM33" s="66">
        <v>4068190</v>
      </c>
      <c r="BN33" s="67">
        <v>3008818</v>
      </c>
      <c r="BO33" s="67">
        <v>43564986</v>
      </c>
      <c r="BP33" s="66">
        <v>13851938</v>
      </c>
      <c r="BQ33" s="66">
        <v>10324393</v>
      </c>
      <c r="BR33" s="67">
        <v>18904270</v>
      </c>
      <c r="BS33" s="67">
        <v>484385</v>
      </c>
      <c r="BT33" s="66">
        <v>16289118</v>
      </c>
      <c r="BU33" s="66">
        <v>8478426</v>
      </c>
      <c r="BV33" s="66">
        <v>7327974</v>
      </c>
      <c r="BW33" s="67">
        <v>482718</v>
      </c>
      <c r="BX33" s="66">
        <v>58097257</v>
      </c>
      <c r="BY33" s="66">
        <v>25818913</v>
      </c>
      <c r="BZ33" s="67">
        <v>18959000</v>
      </c>
      <c r="CA33" s="66">
        <v>16080585</v>
      </c>
      <c r="CB33" s="67">
        <v>2878415</v>
      </c>
      <c r="CC33" s="67">
        <v>1201626</v>
      </c>
      <c r="CD33" s="66">
        <v>9909332</v>
      </c>
      <c r="CE33" s="66">
        <v>4878454</v>
      </c>
      <c r="CF33" s="66">
        <v>2555650</v>
      </c>
      <c r="CG33" s="66">
        <v>2475228</v>
      </c>
      <c r="CH33" s="66">
        <v>2524409</v>
      </c>
      <c r="CI33" s="67">
        <v>862261</v>
      </c>
      <c r="CJ33" s="67">
        <v>1662148</v>
      </c>
      <c r="CK33" s="66">
        <v>11132738</v>
      </c>
      <c r="CL33" s="66">
        <v>2455968</v>
      </c>
      <c r="CM33" s="66">
        <v>8676770</v>
      </c>
      <c r="CN33" s="66">
        <v>4065118</v>
      </c>
      <c r="CO33" s="66">
        <v>1631557</v>
      </c>
      <c r="CP33" s="66">
        <v>2386081</v>
      </c>
      <c r="CQ33" s="66">
        <v>47480</v>
      </c>
      <c r="CR33" s="67">
        <v>0</v>
      </c>
    </row>
    <row r="34" spans="1:96" s="69" customFormat="1" ht="10.199999999999999" x14ac:dyDescent="0.2">
      <c r="A34" s="65" t="s">
        <v>218</v>
      </c>
      <c r="B34" s="66">
        <v>6116965227</v>
      </c>
      <c r="C34" s="66">
        <v>6844081</v>
      </c>
      <c r="D34" s="66">
        <v>5813611</v>
      </c>
      <c r="E34" s="66">
        <v>644423</v>
      </c>
      <c r="F34" s="66">
        <v>386047</v>
      </c>
      <c r="G34" s="66">
        <v>92002708</v>
      </c>
      <c r="H34" s="67">
        <v>259032020</v>
      </c>
      <c r="I34" s="66">
        <v>15699819</v>
      </c>
      <c r="J34" s="67">
        <v>7147165</v>
      </c>
      <c r="K34" s="66">
        <v>5456483</v>
      </c>
      <c r="L34" s="66">
        <v>3096171</v>
      </c>
      <c r="M34" s="66">
        <v>994377292</v>
      </c>
      <c r="N34" s="66">
        <v>28716848</v>
      </c>
      <c r="O34" s="67">
        <v>10892993</v>
      </c>
      <c r="P34" s="66">
        <v>1106165</v>
      </c>
      <c r="Q34" s="67">
        <v>2040803</v>
      </c>
      <c r="R34" s="67">
        <v>193372</v>
      </c>
      <c r="S34" s="66">
        <v>1838340</v>
      </c>
      <c r="T34" s="66">
        <v>13989877</v>
      </c>
      <c r="U34" s="66">
        <v>3871202</v>
      </c>
      <c r="V34" s="66">
        <v>230069221</v>
      </c>
      <c r="W34" s="66">
        <v>186934008</v>
      </c>
      <c r="X34" s="67">
        <v>7514879</v>
      </c>
      <c r="Y34" s="67">
        <v>4145568</v>
      </c>
      <c r="Z34" s="67">
        <v>21467567</v>
      </c>
      <c r="AA34" s="66">
        <v>76718777</v>
      </c>
      <c r="AB34" s="66">
        <v>37477243</v>
      </c>
      <c r="AC34" s="66">
        <v>112214861</v>
      </c>
      <c r="AD34" s="66">
        <v>76460935</v>
      </c>
      <c r="AE34" s="66">
        <v>134217360</v>
      </c>
      <c r="AF34" s="67">
        <v>2642679</v>
      </c>
      <c r="AG34" s="67">
        <v>41864592</v>
      </c>
      <c r="AH34" s="67">
        <v>161898368</v>
      </c>
      <c r="AI34" s="66">
        <v>79674127</v>
      </c>
      <c r="AJ34" s="66">
        <v>38791066</v>
      </c>
      <c r="AK34" s="66">
        <v>40792155</v>
      </c>
      <c r="AL34" s="66">
        <v>90906</v>
      </c>
      <c r="AM34" s="66">
        <v>82224241</v>
      </c>
      <c r="AN34" s="66">
        <v>3832408</v>
      </c>
      <c r="AO34" s="67">
        <v>864871</v>
      </c>
      <c r="AP34" s="66">
        <v>1897875</v>
      </c>
      <c r="AQ34" s="67">
        <v>19445042</v>
      </c>
      <c r="AR34" s="66">
        <v>7482175</v>
      </c>
      <c r="AS34" s="66">
        <v>712693</v>
      </c>
      <c r="AT34" s="66">
        <v>1553825</v>
      </c>
      <c r="AU34" s="66">
        <v>7161080</v>
      </c>
      <c r="AV34" s="66">
        <v>2187126</v>
      </c>
      <c r="AW34" s="66">
        <v>27443982</v>
      </c>
      <c r="AX34" s="67">
        <v>2901482</v>
      </c>
      <c r="AY34" s="66">
        <v>6741684</v>
      </c>
      <c r="AZ34" s="67">
        <v>0</v>
      </c>
      <c r="BA34" s="66">
        <v>36656764</v>
      </c>
      <c r="BB34" s="66">
        <v>19253031</v>
      </c>
      <c r="BC34" s="66">
        <v>3445543</v>
      </c>
      <c r="BD34" s="66">
        <v>815765</v>
      </c>
      <c r="BE34" s="66">
        <v>844159</v>
      </c>
      <c r="BF34" s="66">
        <v>11069694</v>
      </c>
      <c r="BG34" s="67">
        <v>1228572</v>
      </c>
      <c r="BH34" s="66">
        <v>261573802</v>
      </c>
      <c r="BI34" s="67">
        <v>83900494</v>
      </c>
      <c r="BJ34" s="66">
        <v>14683944</v>
      </c>
      <c r="BK34" s="66">
        <v>22570744</v>
      </c>
      <c r="BL34" s="66">
        <v>114310758</v>
      </c>
      <c r="BM34" s="66">
        <v>22126852</v>
      </c>
      <c r="BN34" s="67">
        <v>3981009</v>
      </c>
      <c r="BO34" s="67">
        <v>2636937497</v>
      </c>
      <c r="BP34" s="66">
        <v>142046151</v>
      </c>
      <c r="BQ34" s="66">
        <v>1004643786</v>
      </c>
      <c r="BR34" s="67">
        <v>1457018817</v>
      </c>
      <c r="BS34" s="67">
        <v>33228742</v>
      </c>
      <c r="BT34" s="66">
        <v>51129389</v>
      </c>
      <c r="BU34" s="66">
        <v>40731673</v>
      </c>
      <c r="BV34" s="66">
        <v>9166518</v>
      </c>
      <c r="BW34" s="67">
        <v>1231197</v>
      </c>
      <c r="BX34" s="66">
        <v>49700978</v>
      </c>
      <c r="BY34" s="66">
        <v>1455825878</v>
      </c>
      <c r="BZ34" s="67">
        <v>13058706</v>
      </c>
      <c r="CA34" s="66">
        <v>9150140</v>
      </c>
      <c r="CB34" s="67">
        <v>3908566</v>
      </c>
      <c r="CC34" s="67">
        <v>2476785</v>
      </c>
      <c r="CD34" s="66">
        <v>16307594</v>
      </c>
      <c r="CE34" s="66">
        <v>6959277</v>
      </c>
      <c r="CF34" s="66">
        <v>2724505</v>
      </c>
      <c r="CG34" s="66">
        <v>6623812</v>
      </c>
      <c r="CH34" s="66">
        <v>6969295</v>
      </c>
      <c r="CI34" s="67">
        <v>2696236</v>
      </c>
      <c r="CJ34" s="67">
        <v>4273059</v>
      </c>
      <c r="CK34" s="66">
        <v>47051016</v>
      </c>
      <c r="CL34" s="66">
        <v>22373069</v>
      </c>
      <c r="CM34" s="66">
        <v>24677947</v>
      </c>
      <c r="CN34" s="66">
        <v>9423027</v>
      </c>
      <c r="CO34" s="66">
        <v>1099798</v>
      </c>
      <c r="CP34" s="66">
        <v>7898950</v>
      </c>
      <c r="CQ34" s="66">
        <v>424279</v>
      </c>
      <c r="CR34" s="67">
        <v>208</v>
      </c>
    </row>
    <row r="35" spans="1:96" s="64" customFormat="1" ht="10.199999999999999" x14ac:dyDescent="0.2">
      <c r="A35" s="57" t="s">
        <v>219</v>
      </c>
      <c r="B35" s="61">
        <v>76799143905</v>
      </c>
      <c r="C35" s="61">
        <v>141892761</v>
      </c>
      <c r="D35" s="61">
        <v>108720485</v>
      </c>
      <c r="E35" s="61">
        <v>17906348</v>
      </c>
      <c r="F35" s="61">
        <v>15265928</v>
      </c>
      <c r="G35" s="61">
        <v>890547131</v>
      </c>
      <c r="H35" s="60">
        <v>1577295662</v>
      </c>
      <c r="I35" s="61">
        <v>762606047</v>
      </c>
      <c r="J35" s="60">
        <v>335745504</v>
      </c>
      <c r="K35" s="61">
        <v>216978497</v>
      </c>
      <c r="L35" s="61">
        <v>209882045</v>
      </c>
      <c r="M35" s="61">
        <v>10356934872</v>
      </c>
      <c r="N35" s="61">
        <v>804710059</v>
      </c>
      <c r="O35" s="60">
        <v>245773439</v>
      </c>
      <c r="P35" s="61">
        <v>29112823</v>
      </c>
      <c r="Q35" s="60">
        <v>37774352</v>
      </c>
      <c r="R35" s="60">
        <v>7596603</v>
      </c>
      <c r="S35" s="61">
        <v>45702457</v>
      </c>
      <c r="T35" s="61">
        <v>275300755</v>
      </c>
      <c r="U35" s="61">
        <v>68266822</v>
      </c>
      <c r="V35" s="61">
        <v>1914419642</v>
      </c>
      <c r="W35" s="61">
        <v>1702128079</v>
      </c>
      <c r="X35" s="60">
        <v>140692186</v>
      </c>
      <c r="Y35" s="60">
        <v>165219345</v>
      </c>
      <c r="Z35" s="60">
        <v>308601639</v>
      </c>
      <c r="AA35" s="61">
        <v>422138340</v>
      </c>
      <c r="AB35" s="61">
        <v>485579561</v>
      </c>
      <c r="AC35" s="61">
        <v>1074705643</v>
      </c>
      <c r="AD35" s="61">
        <v>993860398</v>
      </c>
      <c r="AE35" s="61">
        <v>1261226859</v>
      </c>
      <c r="AF35" s="60">
        <v>34817939</v>
      </c>
      <c r="AG35" s="60">
        <v>339307932</v>
      </c>
      <c r="AH35" s="60">
        <v>3604059999</v>
      </c>
      <c r="AI35" s="61">
        <v>2020855751</v>
      </c>
      <c r="AJ35" s="61">
        <v>886332764</v>
      </c>
      <c r="AK35" s="61">
        <v>1132567277</v>
      </c>
      <c r="AL35" s="61">
        <v>1955710</v>
      </c>
      <c r="AM35" s="61">
        <v>1583203698</v>
      </c>
      <c r="AN35" s="61">
        <v>243702731</v>
      </c>
      <c r="AO35" s="60">
        <v>40682457</v>
      </c>
      <c r="AP35" s="61">
        <v>44550940</v>
      </c>
      <c r="AQ35" s="60">
        <v>161051017</v>
      </c>
      <c r="AR35" s="61">
        <v>181350311</v>
      </c>
      <c r="AS35" s="61">
        <v>145665151</v>
      </c>
      <c r="AT35" s="61">
        <v>48714543</v>
      </c>
      <c r="AU35" s="61">
        <v>112371761</v>
      </c>
      <c r="AV35" s="61">
        <v>46870631</v>
      </c>
      <c r="AW35" s="61">
        <v>353783564</v>
      </c>
      <c r="AX35" s="60">
        <v>65434844</v>
      </c>
      <c r="AY35" s="61">
        <v>139025746</v>
      </c>
      <c r="AZ35" s="62">
        <v>550</v>
      </c>
      <c r="BA35" s="61">
        <v>709134090</v>
      </c>
      <c r="BB35" s="61">
        <v>413526278</v>
      </c>
      <c r="BC35" s="61">
        <v>93440724</v>
      </c>
      <c r="BD35" s="61">
        <v>19157960</v>
      </c>
      <c r="BE35" s="61">
        <v>20310302</v>
      </c>
      <c r="BF35" s="61">
        <v>133601358</v>
      </c>
      <c r="BG35" s="60">
        <v>29097469</v>
      </c>
      <c r="BH35" s="61">
        <v>2468467797</v>
      </c>
      <c r="BI35" s="60">
        <v>491909752</v>
      </c>
      <c r="BJ35" s="61">
        <v>175178460</v>
      </c>
      <c r="BK35" s="61">
        <v>278583214</v>
      </c>
      <c r="BL35" s="61">
        <v>1359460280</v>
      </c>
      <c r="BM35" s="61">
        <v>91230228</v>
      </c>
      <c r="BN35" s="60">
        <v>72105863</v>
      </c>
      <c r="BO35" s="60">
        <v>33890646518</v>
      </c>
      <c r="BP35" s="61">
        <v>4686058971</v>
      </c>
      <c r="BQ35" s="61">
        <v>7779927884</v>
      </c>
      <c r="BR35" s="60">
        <v>8148391010</v>
      </c>
      <c r="BS35" s="60">
        <v>13276268652</v>
      </c>
      <c r="BT35" s="61">
        <v>1470105720</v>
      </c>
      <c r="BU35" s="61">
        <v>1249345063</v>
      </c>
      <c r="BV35" s="61">
        <v>200768411</v>
      </c>
      <c r="BW35" s="60">
        <v>19992247</v>
      </c>
      <c r="BX35" s="61">
        <v>794631006</v>
      </c>
      <c r="BY35" s="61">
        <v>18775836616</v>
      </c>
      <c r="BZ35" s="60">
        <v>290311946</v>
      </c>
      <c r="CA35" s="61">
        <v>220458486</v>
      </c>
      <c r="CB35" s="60">
        <v>69853459</v>
      </c>
      <c r="CC35" s="60">
        <v>39406001</v>
      </c>
      <c r="CD35" s="61">
        <v>324958969</v>
      </c>
      <c r="CE35" s="61">
        <v>130665730</v>
      </c>
      <c r="CF35" s="61">
        <v>60802642</v>
      </c>
      <c r="CG35" s="61">
        <v>133490598</v>
      </c>
      <c r="CH35" s="61">
        <v>108055646</v>
      </c>
      <c r="CI35" s="60">
        <v>36376105</v>
      </c>
      <c r="CJ35" s="60">
        <v>71679540</v>
      </c>
      <c r="CK35" s="61">
        <v>474149261</v>
      </c>
      <c r="CL35" s="61">
        <v>261014639</v>
      </c>
      <c r="CM35" s="61">
        <v>213134622</v>
      </c>
      <c r="CN35" s="61">
        <v>119946102</v>
      </c>
      <c r="CO35" s="61">
        <v>47834389</v>
      </c>
      <c r="CP35" s="61">
        <v>56178162</v>
      </c>
      <c r="CQ35" s="61">
        <v>15933551</v>
      </c>
      <c r="CR35" s="62">
        <v>157761</v>
      </c>
    </row>
    <row r="36" spans="1:96" s="69" customFormat="1" ht="10.199999999999999" x14ac:dyDescent="0.2">
      <c r="A36" s="65" t="s">
        <v>220</v>
      </c>
      <c r="B36" s="66">
        <v>6822189862</v>
      </c>
      <c r="C36" s="66">
        <v>8267447</v>
      </c>
      <c r="D36" s="66">
        <v>6442874</v>
      </c>
      <c r="E36" s="66">
        <v>394775</v>
      </c>
      <c r="F36" s="66">
        <v>1429798</v>
      </c>
      <c r="G36" s="66">
        <v>93374140</v>
      </c>
      <c r="H36" s="67">
        <v>71340978</v>
      </c>
      <c r="I36" s="66">
        <v>129084915</v>
      </c>
      <c r="J36" s="67">
        <v>67561441</v>
      </c>
      <c r="K36" s="66">
        <v>25883827</v>
      </c>
      <c r="L36" s="66">
        <v>35639647</v>
      </c>
      <c r="M36" s="66">
        <v>1380535906</v>
      </c>
      <c r="N36" s="66">
        <v>338637877</v>
      </c>
      <c r="O36" s="67">
        <v>10008279</v>
      </c>
      <c r="P36" s="66">
        <v>3136131</v>
      </c>
      <c r="Q36" s="67">
        <v>5280780</v>
      </c>
      <c r="R36" s="67">
        <v>2490210</v>
      </c>
      <c r="S36" s="66">
        <v>3294780</v>
      </c>
      <c r="T36" s="66">
        <v>23719812</v>
      </c>
      <c r="U36" s="66">
        <v>8295211</v>
      </c>
      <c r="V36" s="66">
        <v>301975157</v>
      </c>
      <c r="W36" s="66">
        <v>132498232</v>
      </c>
      <c r="X36" s="67">
        <v>15155685</v>
      </c>
      <c r="Y36" s="67">
        <v>13833863</v>
      </c>
      <c r="Z36" s="67">
        <v>41438247</v>
      </c>
      <c r="AA36" s="66">
        <v>22937102</v>
      </c>
      <c r="AB36" s="66">
        <v>57170154</v>
      </c>
      <c r="AC36" s="66">
        <v>119794107</v>
      </c>
      <c r="AD36" s="66">
        <v>78818795</v>
      </c>
      <c r="AE36" s="66">
        <v>174430219</v>
      </c>
      <c r="AF36" s="67">
        <v>4076307</v>
      </c>
      <c r="AG36" s="67">
        <v>23544958</v>
      </c>
      <c r="AH36" s="67">
        <v>573491948</v>
      </c>
      <c r="AI36" s="66">
        <v>312169005</v>
      </c>
      <c r="AJ36" s="66">
        <v>163383582</v>
      </c>
      <c r="AK36" s="66">
        <v>148637623</v>
      </c>
      <c r="AL36" s="66">
        <v>147799</v>
      </c>
      <c r="AM36" s="66">
        <v>261322943</v>
      </c>
      <c r="AN36" s="66">
        <v>19862852</v>
      </c>
      <c r="AO36" s="67">
        <v>6168016</v>
      </c>
      <c r="AP36" s="66">
        <v>13323707</v>
      </c>
      <c r="AQ36" s="67">
        <v>25060860</v>
      </c>
      <c r="AR36" s="66">
        <v>36910390</v>
      </c>
      <c r="AS36" s="66">
        <v>22193928</v>
      </c>
      <c r="AT36" s="66">
        <v>6823147</v>
      </c>
      <c r="AU36" s="66">
        <v>14509664</v>
      </c>
      <c r="AV36" s="66">
        <v>8654451</v>
      </c>
      <c r="AW36" s="66">
        <v>86976779</v>
      </c>
      <c r="AX36" s="67">
        <v>8383326</v>
      </c>
      <c r="AY36" s="66">
        <v>12455824</v>
      </c>
      <c r="AZ36" s="67">
        <v>0</v>
      </c>
      <c r="BA36" s="66">
        <v>44968447</v>
      </c>
      <c r="BB36" s="66">
        <v>16525194</v>
      </c>
      <c r="BC36" s="66">
        <v>7675013</v>
      </c>
      <c r="BD36" s="66">
        <v>805924</v>
      </c>
      <c r="BE36" s="66">
        <v>740460</v>
      </c>
      <c r="BF36" s="66">
        <v>17650803</v>
      </c>
      <c r="BG36" s="67">
        <v>1571052</v>
      </c>
      <c r="BH36" s="66">
        <v>122315828</v>
      </c>
      <c r="BI36" s="67">
        <v>27972800</v>
      </c>
      <c r="BJ36" s="66">
        <v>9000531</v>
      </c>
      <c r="BK36" s="66">
        <v>10561195</v>
      </c>
      <c r="BL36" s="66">
        <v>68694792</v>
      </c>
      <c r="BM36" s="66">
        <v>1748312</v>
      </c>
      <c r="BN36" s="67">
        <v>4338198</v>
      </c>
      <c r="BO36" s="67">
        <v>2406166838</v>
      </c>
      <c r="BP36" s="66">
        <v>138404790</v>
      </c>
      <c r="BQ36" s="66">
        <v>1728395224</v>
      </c>
      <c r="BR36" s="67">
        <v>126150046</v>
      </c>
      <c r="BS36" s="67">
        <v>413216778</v>
      </c>
      <c r="BT36" s="66">
        <v>38051547</v>
      </c>
      <c r="BU36" s="66">
        <v>28788325</v>
      </c>
      <c r="BV36" s="66">
        <v>9070463</v>
      </c>
      <c r="BW36" s="67">
        <v>192759</v>
      </c>
      <c r="BX36" s="66">
        <v>88752766</v>
      </c>
      <c r="BY36" s="66">
        <v>1786433396</v>
      </c>
      <c r="BZ36" s="67">
        <v>22821435</v>
      </c>
      <c r="CA36" s="66">
        <v>17989507</v>
      </c>
      <c r="CB36" s="67">
        <v>4831928</v>
      </c>
      <c r="CC36" s="67">
        <v>1888498</v>
      </c>
      <c r="CD36" s="66">
        <v>16315207</v>
      </c>
      <c r="CE36" s="66">
        <v>8470856</v>
      </c>
      <c r="CF36" s="66">
        <v>3013125</v>
      </c>
      <c r="CG36" s="66">
        <v>4831227</v>
      </c>
      <c r="CH36" s="66">
        <v>4999383</v>
      </c>
      <c r="CI36" s="67">
        <v>2303383</v>
      </c>
      <c r="CJ36" s="67">
        <v>2696000</v>
      </c>
      <c r="CK36" s="66">
        <v>24045888</v>
      </c>
      <c r="CL36" s="66">
        <v>4962366</v>
      </c>
      <c r="CM36" s="66">
        <v>19083522</v>
      </c>
      <c r="CN36" s="66">
        <v>9330199</v>
      </c>
      <c r="CO36" s="66">
        <v>4579851</v>
      </c>
      <c r="CP36" s="66">
        <v>3744669</v>
      </c>
      <c r="CQ36" s="66">
        <v>1005678</v>
      </c>
      <c r="CR36" s="68">
        <v>5097</v>
      </c>
    </row>
    <row r="37" spans="1:96" s="69" customFormat="1" ht="10.199999999999999" x14ac:dyDescent="0.2">
      <c r="A37" s="65" t="s">
        <v>305</v>
      </c>
      <c r="B37" s="66">
        <v>4725523837</v>
      </c>
      <c r="C37" s="66">
        <v>15842263</v>
      </c>
      <c r="D37" s="66">
        <v>13492141</v>
      </c>
      <c r="E37" s="66">
        <v>862436</v>
      </c>
      <c r="F37" s="66">
        <v>1487686</v>
      </c>
      <c r="G37" s="66">
        <v>19133208</v>
      </c>
      <c r="H37" s="67">
        <v>81238290</v>
      </c>
      <c r="I37" s="66">
        <v>75212787</v>
      </c>
      <c r="J37" s="67">
        <v>39463944</v>
      </c>
      <c r="K37" s="66">
        <v>20172856</v>
      </c>
      <c r="L37" s="66">
        <v>15575986</v>
      </c>
      <c r="M37" s="66">
        <v>821740121</v>
      </c>
      <c r="N37" s="66">
        <v>27434341</v>
      </c>
      <c r="O37" s="67">
        <v>21627649</v>
      </c>
      <c r="P37" s="66">
        <v>1978091</v>
      </c>
      <c r="Q37" s="67">
        <v>2550862</v>
      </c>
      <c r="R37" s="67">
        <v>290271</v>
      </c>
      <c r="S37" s="66">
        <v>4536020</v>
      </c>
      <c r="T37" s="66">
        <v>25266689</v>
      </c>
      <c r="U37" s="66">
        <v>5273138</v>
      </c>
      <c r="V37" s="66">
        <v>17994415</v>
      </c>
      <c r="W37" s="66">
        <v>157702120</v>
      </c>
      <c r="X37" s="67">
        <v>9980835</v>
      </c>
      <c r="Y37" s="67">
        <v>6642772</v>
      </c>
      <c r="Z37" s="67">
        <v>30859323</v>
      </c>
      <c r="AA37" s="66">
        <v>17053351</v>
      </c>
      <c r="AB37" s="66">
        <v>49899534</v>
      </c>
      <c r="AC37" s="66">
        <v>56374869</v>
      </c>
      <c r="AD37" s="66">
        <v>245970212</v>
      </c>
      <c r="AE37" s="66">
        <v>127110234</v>
      </c>
      <c r="AF37" s="67">
        <v>2875137</v>
      </c>
      <c r="AG37" s="67">
        <v>10320257</v>
      </c>
      <c r="AH37" s="67">
        <v>333063045</v>
      </c>
      <c r="AI37" s="66">
        <v>173261936</v>
      </c>
      <c r="AJ37" s="66">
        <v>106235667</v>
      </c>
      <c r="AK37" s="66">
        <v>66890342</v>
      </c>
      <c r="AL37" s="66">
        <v>135927</v>
      </c>
      <c r="AM37" s="66">
        <v>159801110</v>
      </c>
      <c r="AN37" s="66">
        <v>97007147</v>
      </c>
      <c r="AO37" s="67">
        <v>4592673</v>
      </c>
      <c r="AP37" s="66">
        <v>1656717</v>
      </c>
      <c r="AQ37" s="67">
        <v>7201145</v>
      </c>
      <c r="AR37" s="66">
        <v>4612811</v>
      </c>
      <c r="AS37" s="66">
        <v>5885313</v>
      </c>
      <c r="AT37" s="66">
        <v>1553775</v>
      </c>
      <c r="AU37" s="66">
        <v>5543604</v>
      </c>
      <c r="AV37" s="66">
        <v>2818577</v>
      </c>
      <c r="AW37" s="66">
        <v>10021043</v>
      </c>
      <c r="AX37" s="67">
        <v>6059217</v>
      </c>
      <c r="AY37" s="66">
        <v>12849088</v>
      </c>
      <c r="AZ37" s="67">
        <v>0</v>
      </c>
      <c r="BA37" s="66">
        <v>33186408</v>
      </c>
      <c r="BB37" s="66">
        <v>13839638</v>
      </c>
      <c r="BC37" s="66">
        <v>9438409</v>
      </c>
      <c r="BD37" s="66">
        <v>1373514</v>
      </c>
      <c r="BE37" s="66">
        <v>793971</v>
      </c>
      <c r="BF37" s="66">
        <v>7070806</v>
      </c>
      <c r="BG37" s="67">
        <v>670070</v>
      </c>
      <c r="BH37" s="66">
        <v>136865352</v>
      </c>
      <c r="BI37" s="67">
        <v>19474346</v>
      </c>
      <c r="BJ37" s="66">
        <v>7810767</v>
      </c>
      <c r="BK37" s="66">
        <v>10512028</v>
      </c>
      <c r="BL37" s="66">
        <v>95706715</v>
      </c>
      <c r="BM37" s="66">
        <v>1415575</v>
      </c>
      <c r="BN37" s="67">
        <v>1945920</v>
      </c>
      <c r="BO37" s="67">
        <v>1897234271</v>
      </c>
      <c r="BP37" s="66">
        <v>1227145486</v>
      </c>
      <c r="BQ37" s="66">
        <v>351200899</v>
      </c>
      <c r="BR37" s="67">
        <v>97339394</v>
      </c>
      <c r="BS37" s="67">
        <v>221548491</v>
      </c>
      <c r="BT37" s="66">
        <v>67028490</v>
      </c>
      <c r="BU37" s="66">
        <v>41938388</v>
      </c>
      <c r="BV37" s="66">
        <v>23944880</v>
      </c>
      <c r="BW37" s="67">
        <v>1145222</v>
      </c>
      <c r="BX37" s="66">
        <v>50489210</v>
      </c>
      <c r="BY37" s="66">
        <v>1128846360</v>
      </c>
      <c r="BZ37" s="67">
        <v>20514432</v>
      </c>
      <c r="CA37" s="66">
        <v>16105332</v>
      </c>
      <c r="CB37" s="67">
        <v>4409099</v>
      </c>
      <c r="CC37" s="67">
        <v>1386079</v>
      </c>
      <c r="CD37" s="66">
        <v>14229883</v>
      </c>
      <c r="CE37" s="66">
        <v>8451256</v>
      </c>
      <c r="CF37" s="66">
        <v>2544669</v>
      </c>
      <c r="CG37" s="66">
        <v>3233958</v>
      </c>
      <c r="CH37" s="66">
        <v>8664982</v>
      </c>
      <c r="CI37" s="67">
        <v>3505741</v>
      </c>
      <c r="CJ37" s="67">
        <v>5159242</v>
      </c>
      <c r="CK37" s="66">
        <v>15804309</v>
      </c>
      <c r="CL37" s="66">
        <v>8015995</v>
      </c>
      <c r="CM37" s="66">
        <v>7788315</v>
      </c>
      <c r="CN37" s="66">
        <v>5041196</v>
      </c>
      <c r="CO37" s="66">
        <v>2414487</v>
      </c>
      <c r="CP37" s="66">
        <v>2091147</v>
      </c>
      <c r="CQ37" s="66">
        <v>535561</v>
      </c>
      <c r="CR37" s="68">
        <v>3148</v>
      </c>
    </row>
    <row r="38" spans="1:96" s="69" customFormat="1" ht="10.199999999999999" x14ac:dyDescent="0.2">
      <c r="A38" s="65" t="s">
        <v>221</v>
      </c>
      <c r="B38" s="66">
        <v>20354322310</v>
      </c>
      <c r="C38" s="66">
        <v>6742532</v>
      </c>
      <c r="D38" s="66">
        <v>5244391</v>
      </c>
      <c r="E38" s="66">
        <v>277285</v>
      </c>
      <c r="F38" s="66">
        <v>1220856</v>
      </c>
      <c r="G38" s="66">
        <v>51132028</v>
      </c>
      <c r="H38" s="67">
        <v>122068573</v>
      </c>
      <c r="I38" s="66">
        <v>114024156</v>
      </c>
      <c r="J38" s="67">
        <v>52247972</v>
      </c>
      <c r="K38" s="66">
        <v>25177136</v>
      </c>
      <c r="L38" s="66">
        <v>36599048</v>
      </c>
      <c r="M38" s="66">
        <v>1162168965</v>
      </c>
      <c r="N38" s="66">
        <v>33412496</v>
      </c>
      <c r="O38" s="67">
        <v>20972403</v>
      </c>
      <c r="P38" s="66">
        <v>2293898</v>
      </c>
      <c r="Q38" s="67">
        <v>3247077</v>
      </c>
      <c r="R38" s="67">
        <v>668490</v>
      </c>
      <c r="S38" s="66">
        <v>3112065</v>
      </c>
      <c r="T38" s="66">
        <v>13276927</v>
      </c>
      <c r="U38" s="66">
        <v>6654382</v>
      </c>
      <c r="V38" s="66">
        <v>427669085</v>
      </c>
      <c r="W38" s="66">
        <v>144716382</v>
      </c>
      <c r="X38" s="67">
        <v>11995338</v>
      </c>
      <c r="Y38" s="67">
        <v>10833896</v>
      </c>
      <c r="Z38" s="67">
        <v>20006796</v>
      </c>
      <c r="AA38" s="66">
        <v>28295010</v>
      </c>
      <c r="AB38" s="66">
        <v>42858710</v>
      </c>
      <c r="AC38" s="66">
        <v>110929599</v>
      </c>
      <c r="AD38" s="66">
        <v>72712197</v>
      </c>
      <c r="AE38" s="66">
        <v>167987542</v>
      </c>
      <c r="AF38" s="67">
        <v>4087683</v>
      </c>
      <c r="AG38" s="67">
        <v>36438991</v>
      </c>
      <c r="AH38" s="67">
        <v>355510021</v>
      </c>
      <c r="AI38" s="66">
        <v>201228281</v>
      </c>
      <c r="AJ38" s="66">
        <v>91678140</v>
      </c>
      <c r="AK38" s="66">
        <v>109240034</v>
      </c>
      <c r="AL38" s="66">
        <v>310107</v>
      </c>
      <c r="AM38" s="66">
        <v>154281740</v>
      </c>
      <c r="AN38" s="66">
        <v>18128298</v>
      </c>
      <c r="AO38" s="67">
        <v>5505669</v>
      </c>
      <c r="AP38" s="66">
        <v>6416094</v>
      </c>
      <c r="AQ38" s="67">
        <v>11067529</v>
      </c>
      <c r="AR38" s="66">
        <v>15274097</v>
      </c>
      <c r="AS38" s="66">
        <v>14300974</v>
      </c>
      <c r="AT38" s="66">
        <v>2959781</v>
      </c>
      <c r="AU38" s="66">
        <v>14463576</v>
      </c>
      <c r="AV38" s="66">
        <v>6210260</v>
      </c>
      <c r="AW38" s="66">
        <v>40721412</v>
      </c>
      <c r="AX38" s="67">
        <v>6337154</v>
      </c>
      <c r="AY38" s="66">
        <v>12896896</v>
      </c>
      <c r="AZ38" s="67">
        <v>0</v>
      </c>
      <c r="BA38" s="66">
        <v>79599921</v>
      </c>
      <c r="BB38" s="66">
        <v>51708938</v>
      </c>
      <c r="BC38" s="66">
        <v>11400877</v>
      </c>
      <c r="BD38" s="66">
        <v>1889415</v>
      </c>
      <c r="BE38" s="66">
        <v>864216</v>
      </c>
      <c r="BF38" s="66">
        <v>12233951</v>
      </c>
      <c r="BG38" s="67">
        <v>1502524</v>
      </c>
      <c r="BH38" s="66">
        <v>275888835</v>
      </c>
      <c r="BI38" s="67">
        <v>119364964</v>
      </c>
      <c r="BJ38" s="66">
        <v>19393951</v>
      </c>
      <c r="BK38" s="66">
        <v>34385659</v>
      </c>
      <c r="BL38" s="66">
        <v>67639209</v>
      </c>
      <c r="BM38" s="66">
        <v>23698397</v>
      </c>
      <c r="BN38" s="67">
        <v>11406655</v>
      </c>
      <c r="BO38" s="67">
        <v>7399629396</v>
      </c>
      <c r="BP38" s="66">
        <v>1296710088</v>
      </c>
      <c r="BQ38" s="66">
        <v>2449854564</v>
      </c>
      <c r="BR38" s="67">
        <v>3350534784</v>
      </c>
      <c r="BS38" s="67">
        <v>302529961</v>
      </c>
      <c r="BT38" s="66">
        <v>62109759</v>
      </c>
      <c r="BU38" s="66">
        <v>39645474</v>
      </c>
      <c r="BV38" s="66">
        <v>20285123</v>
      </c>
      <c r="BW38" s="67">
        <v>2179162</v>
      </c>
      <c r="BX38" s="66">
        <v>124063626</v>
      </c>
      <c r="BY38" s="66">
        <v>10455497453</v>
      </c>
      <c r="BZ38" s="67">
        <v>37378003</v>
      </c>
      <c r="CA38" s="66">
        <v>31590096</v>
      </c>
      <c r="CB38" s="67">
        <v>5787908</v>
      </c>
      <c r="CC38" s="67">
        <v>7131355</v>
      </c>
      <c r="CD38" s="66">
        <v>39153352</v>
      </c>
      <c r="CE38" s="66">
        <v>18204788</v>
      </c>
      <c r="CF38" s="66">
        <v>6986042</v>
      </c>
      <c r="CG38" s="66">
        <v>13962522</v>
      </c>
      <c r="CH38" s="66">
        <v>12495329</v>
      </c>
      <c r="CI38" s="67">
        <v>5843974</v>
      </c>
      <c r="CJ38" s="67">
        <v>6651355</v>
      </c>
      <c r="CK38" s="66">
        <v>38674850</v>
      </c>
      <c r="CL38" s="66">
        <v>16786212</v>
      </c>
      <c r="CM38" s="66">
        <v>21888638</v>
      </c>
      <c r="CN38" s="66">
        <v>11044558</v>
      </c>
      <c r="CO38" s="66">
        <v>4716884</v>
      </c>
      <c r="CP38" s="66">
        <v>4488227</v>
      </c>
      <c r="CQ38" s="66">
        <v>1839446</v>
      </c>
      <c r="CR38" s="68">
        <v>9597</v>
      </c>
    </row>
    <row r="39" spans="1:96" s="69" customFormat="1" ht="10.199999999999999" x14ac:dyDescent="0.2">
      <c r="A39" s="65" t="s">
        <v>222</v>
      </c>
      <c r="B39" s="66">
        <v>606631359</v>
      </c>
      <c r="C39" s="66">
        <v>19965996</v>
      </c>
      <c r="D39" s="66">
        <v>15964567</v>
      </c>
      <c r="E39" s="66">
        <v>2010060</v>
      </c>
      <c r="F39" s="66">
        <v>1991368</v>
      </c>
      <c r="G39" s="66">
        <v>9981684</v>
      </c>
      <c r="H39" s="67">
        <v>2560349</v>
      </c>
      <c r="I39" s="66">
        <v>38415259</v>
      </c>
      <c r="J39" s="67">
        <v>15690329</v>
      </c>
      <c r="K39" s="66">
        <v>12084102</v>
      </c>
      <c r="L39" s="66">
        <v>10640828</v>
      </c>
      <c r="M39" s="66">
        <v>148406945</v>
      </c>
      <c r="N39" s="66">
        <v>13254144</v>
      </c>
      <c r="O39" s="67">
        <v>5867801</v>
      </c>
      <c r="P39" s="66">
        <v>807143</v>
      </c>
      <c r="Q39" s="67">
        <v>1228855</v>
      </c>
      <c r="R39" s="68">
        <v>172114</v>
      </c>
      <c r="S39" s="66">
        <v>2341181</v>
      </c>
      <c r="T39" s="66">
        <v>1062819</v>
      </c>
      <c r="U39" s="66">
        <v>1700392</v>
      </c>
      <c r="V39" s="66">
        <v>21679646</v>
      </c>
      <c r="W39" s="66">
        <v>28080033</v>
      </c>
      <c r="X39" s="67">
        <v>3889200</v>
      </c>
      <c r="Y39" s="67">
        <v>3039561</v>
      </c>
      <c r="Z39" s="67">
        <v>6927213</v>
      </c>
      <c r="AA39" s="66">
        <v>17106320</v>
      </c>
      <c r="AB39" s="66">
        <v>6845945</v>
      </c>
      <c r="AC39" s="66">
        <v>21002137</v>
      </c>
      <c r="AD39" s="66">
        <v>2101464</v>
      </c>
      <c r="AE39" s="66">
        <v>6207252</v>
      </c>
      <c r="AF39" s="67">
        <v>777160</v>
      </c>
      <c r="AG39" s="67">
        <v>4316565</v>
      </c>
      <c r="AH39" s="67">
        <v>86291469</v>
      </c>
      <c r="AI39" s="66">
        <v>41081074</v>
      </c>
      <c r="AJ39" s="66">
        <v>27665663</v>
      </c>
      <c r="AK39" s="66">
        <v>13285590</v>
      </c>
      <c r="AL39" s="66">
        <v>129822</v>
      </c>
      <c r="AM39" s="66">
        <v>45209671</v>
      </c>
      <c r="AN39" s="66">
        <v>14036499</v>
      </c>
      <c r="AO39" s="67">
        <v>3018761</v>
      </c>
      <c r="AP39" s="66">
        <v>1273008</v>
      </c>
      <c r="AQ39" s="67">
        <v>2942588</v>
      </c>
      <c r="AR39" s="66">
        <v>5676044</v>
      </c>
      <c r="AS39" s="66">
        <v>1953583</v>
      </c>
      <c r="AT39" s="66">
        <v>4010142</v>
      </c>
      <c r="AU39" s="66">
        <v>2868212</v>
      </c>
      <c r="AV39" s="66">
        <v>1687240</v>
      </c>
      <c r="AW39" s="66">
        <v>699335</v>
      </c>
      <c r="AX39" s="67">
        <v>4953978</v>
      </c>
      <c r="AY39" s="66">
        <v>2090282</v>
      </c>
      <c r="AZ39" s="68">
        <v>724</v>
      </c>
      <c r="BA39" s="66">
        <v>16812028</v>
      </c>
      <c r="BB39" s="66">
        <v>3585770</v>
      </c>
      <c r="BC39" s="66">
        <v>4462345</v>
      </c>
      <c r="BD39" s="66">
        <v>4142577</v>
      </c>
      <c r="BE39" s="70">
        <v>156714</v>
      </c>
      <c r="BF39" s="66">
        <v>3185274</v>
      </c>
      <c r="BG39" s="67">
        <v>1279347</v>
      </c>
      <c r="BH39" s="66">
        <v>45316091</v>
      </c>
      <c r="BI39" s="67">
        <v>10510082</v>
      </c>
      <c r="BJ39" s="66">
        <v>3024978</v>
      </c>
      <c r="BK39" s="66">
        <v>905161</v>
      </c>
      <c r="BL39" s="66">
        <v>28628444</v>
      </c>
      <c r="BM39" s="66">
        <v>944228</v>
      </c>
      <c r="BN39" s="67">
        <v>1303198</v>
      </c>
      <c r="BO39" s="67">
        <v>45269168</v>
      </c>
      <c r="BP39" s="66">
        <v>13747445</v>
      </c>
      <c r="BQ39" s="66">
        <v>20579212</v>
      </c>
      <c r="BR39" s="67">
        <v>5198535</v>
      </c>
      <c r="BS39" s="67">
        <v>5743976</v>
      </c>
      <c r="BT39" s="66">
        <v>62707010</v>
      </c>
      <c r="BU39" s="66">
        <v>55538997</v>
      </c>
      <c r="BV39" s="66">
        <v>6988799</v>
      </c>
      <c r="BW39" s="67">
        <v>179213</v>
      </c>
      <c r="BX39" s="66">
        <v>32770477</v>
      </c>
      <c r="BY39" s="66">
        <v>14042948</v>
      </c>
      <c r="BZ39" s="67">
        <v>10838648</v>
      </c>
      <c r="CA39" s="66">
        <v>9851582</v>
      </c>
      <c r="CB39" s="67">
        <v>987066</v>
      </c>
      <c r="CC39" s="67">
        <v>1589799</v>
      </c>
      <c r="CD39" s="66">
        <v>21780633</v>
      </c>
      <c r="CE39" s="66">
        <v>17722954</v>
      </c>
      <c r="CF39" s="66">
        <v>2662293</v>
      </c>
      <c r="CG39" s="66">
        <v>1395386</v>
      </c>
      <c r="CH39" s="66">
        <v>10035079</v>
      </c>
      <c r="CI39" s="67">
        <v>4627662</v>
      </c>
      <c r="CJ39" s="67">
        <v>5407417</v>
      </c>
      <c r="CK39" s="66">
        <v>29189110</v>
      </c>
      <c r="CL39" s="66">
        <v>13727346</v>
      </c>
      <c r="CM39" s="66">
        <v>15461765</v>
      </c>
      <c r="CN39" s="66">
        <v>10609487</v>
      </c>
      <c r="CO39" s="66">
        <v>5856904</v>
      </c>
      <c r="CP39" s="66">
        <v>4702553</v>
      </c>
      <c r="CQ39" s="66">
        <v>50031</v>
      </c>
      <c r="CR39" s="68">
        <v>49179</v>
      </c>
    </row>
    <row r="40" spans="1:96" s="69" customFormat="1" ht="10.199999999999999" x14ac:dyDescent="0.2">
      <c r="A40" s="65" t="s">
        <v>306</v>
      </c>
      <c r="B40" s="66">
        <v>11061883947</v>
      </c>
      <c r="C40" s="66">
        <v>42101941</v>
      </c>
      <c r="D40" s="66">
        <v>31404299</v>
      </c>
      <c r="E40" s="66">
        <v>7345667</v>
      </c>
      <c r="F40" s="66">
        <v>3351975</v>
      </c>
      <c r="G40" s="66">
        <v>202710930</v>
      </c>
      <c r="H40" s="67">
        <v>504210200</v>
      </c>
      <c r="I40" s="66">
        <v>156009945</v>
      </c>
      <c r="J40" s="67">
        <v>74114313</v>
      </c>
      <c r="K40" s="66">
        <v>50547513</v>
      </c>
      <c r="L40" s="66">
        <v>31348119</v>
      </c>
      <c r="M40" s="66">
        <v>2273158383</v>
      </c>
      <c r="N40" s="66">
        <v>131312583</v>
      </c>
      <c r="O40" s="67">
        <v>78818862</v>
      </c>
      <c r="P40" s="66">
        <v>7825715</v>
      </c>
      <c r="Q40" s="67">
        <v>9629587</v>
      </c>
      <c r="R40" s="67">
        <v>1658198</v>
      </c>
      <c r="S40" s="66">
        <v>11539236</v>
      </c>
      <c r="T40" s="66">
        <v>84204990</v>
      </c>
      <c r="U40" s="66">
        <v>25515733</v>
      </c>
      <c r="V40" s="66">
        <v>198022365</v>
      </c>
      <c r="W40" s="66">
        <v>360129768</v>
      </c>
      <c r="X40" s="67">
        <v>41162498</v>
      </c>
      <c r="Y40" s="67">
        <v>48912379</v>
      </c>
      <c r="Z40" s="67">
        <v>65037092</v>
      </c>
      <c r="AA40" s="66">
        <v>137571385</v>
      </c>
      <c r="AB40" s="66">
        <v>120451499</v>
      </c>
      <c r="AC40" s="66">
        <v>168136220</v>
      </c>
      <c r="AD40" s="66">
        <v>366270971</v>
      </c>
      <c r="AE40" s="66">
        <v>310995583</v>
      </c>
      <c r="AF40" s="67">
        <v>8384091</v>
      </c>
      <c r="AG40" s="67">
        <v>97579629</v>
      </c>
      <c r="AH40" s="67">
        <v>693554747</v>
      </c>
      <c r="AI40" s="66">
        <v>338418402</v>
      </c>
      <c r="AJ40" s="66">
        <v>135519347</v>
      </c>
      <c r="AK40" s="66">
        <v>202600180</v>
      </c>
      <c r="AL40" s="66">
        <v>298875</v>
      </c>
      <c r="AM40" s="66">
        <v>355136345</v>
      </c>
      <c r="AN40" s="66">
        <v>35600489</v>
      </c>
      <c r="AO40" s="67">
        <v>6499418</v>
      </c>
      <c r="AP40" s="66">
        <v>5999334</v>
      </c>
      <c r="AQ40" s="67">
        <v>55700483</v>
      </c>
      <c r="AR40" s="66">
        <v>42302842</v>
      </c>
      <c r="AS40" s="66">
        <v>32346761</v>
      </c>
      <c r="AT40" s="66">
        <v>17699359</v>
      </c>
      <c r="AU40" s="66">
        <v>18619144</v>
      </c>
      <c r="AV40" s="66">
        <v>15490055</v>
      </c>
      <c r="AW40" s="66">
        <v>79472602</v>
      </c>
      <c r="AX40" s="67">
        <v>16450181</v>
      </c>
      <c r="AY40" s="66">
        <v>28955677</v>
      </c>
      <c r="AZ40" s="67">
        <v>0</v>
      </c>
      <c r="BA40" s="66">
        <v>206960894</v>
      </c>
      <c r="BB40" s="66">
        <v>119913295</v>
      </c>
      <c r="BC40" s="66">
        <v>27110935</v>
      </c>
      <c r="BD40" s="66">
        <v>6216046</v>
      </c>
      <c r="BE40" s="66">
        <v>9520980</v>
      </c>
      <c r="BF40" s="66">
        <v>33931007</v>
      </c>
      <c r="BG40" s="67">
        <v>10268631</v>
      </c>
      <c r="BH40" s="66">
        <v>669942549</v>
      </c>
      <c r="BI40" s="67">
        <v>141421030</v>
      </c>
      <c r="BJ40" s="66">
        <v>61864160</v>
      </c>
      <c r="BK40" s="66">
        <v>101306547</v>
      </c>
      <c r="BL40" s="66">
        <v>336331452</v>
      </c>
      <c r="BM40" s="66">
        <v>20741680</v>
      </c>
      <c r="BN40" s="67">
        <v>8277679</v>
      </c>
      <c r="BO40" s="67">
        <v>3144658510</v>
      </c>
      <c r="BP40" s="66">
        <v>1520939638</v>
      </c>
      <c r="BQ40" s="66">
        <v>1045016027</v>
      </c>
      <c r="BR40" s="67">
        <v>455318020</v>
      </c>
      <c r="BS40" s="67">
        <v>123384824</v>
      </c>
      <c r="BT40" s="66">
        <v>550172724</v>
      </c>
      <c r="BU40" s="66">
        <v>465609655</v>
      </c>
      <c r="BV40" s="66">
        <v>80441606</v>
      </c>
      <c r="BW40" s="67">
        <v>4121464</v>
      </c>
      <c r="BX40" s="66">
        <v>147083859</v>
      </c>
      <c r="BY40" s="66">
        <v>1948141921</v>
      </c>
      <c r="BZ40" s="67">
        <v>79138568</v>
      </c>
      <c r="CA40" s="66">
        <v>55759288</v>
      </c>
      <c r="CB40" s="67">
        <v>23379279</v>
      </c>
      <c r="CC40" s="67">
        <v>9106769</v>
      </c>
      <c r="CD40" s="66">
        <v>140571636</v>
      </c>
      <c r="CE40" s="66">
        <v>39948788</v>
      </c>
      <c r="CF40" s="66">
        <v>21098460</v>
      </c>
      <c r="CG40" s="66">
        <v>79524387</v>
      </c>
      <c r="CH40" s="66">
        <v>42393576</v>
      </c>
      <c r="CI40" s="67">
        <v>9875103</v>
      </c>
      <c r="CJ40" s="67">
        <v>32518473</v>
      </c>
      <c r="CK40" s="66">
        <v>214167020</v>
      </c>
      <c r="CL40" s="66">
        <v>139656835</v>
      </c>
      <c r="CM40" s="66">
        <v>74510185</v>
      </c>
      <c r="CN40" s="66">
        <v>37775387</v>
      </c>
      <c r="CO40" s="66">
        <v>17938652</v>
      </c>
      <c r="CP40" s="66">
        <v>18422082</v>
      </c>
      <c r="CQ40" s="66">
        <v>1414653</v>
      </c>
      <c r="CR40" s="68">
        <v>24390</v>
      </c>
    </row>
    <row r="41" spans="1:96" s="69" customFormat="1" ht="10.199999999999999" x14ac:dyDescent="0.2">
      <c r="A41" s="65" t="s">
        <v>223</v>
      </c>
      <c r="B41" s="66">
        <v>7759698093</v>
      </c>
      <c r="C41" s="66">
        <v>6014158</v>
      </c>
      <c r="D41" s="66">
        <v>5118524</v>
      </c>
      <c r="E41" s="66">
        <v>242634</v>
      </c>
      <c r="F41" s="66">
        <v>653000</v>
      </c>
      <c r="G41" s="66">
        <v>129169629</v>
      </c>
      <c r="H41" s="67">
        <v>407225954</v>
      </c>
      <c r="I41" s="66">
        <v>27615828</v>
      </c>
      <c r="J41" s="67">
        <v>11043770</v>
      </c>
      <c r="K41" s="66">
        <v>11365592</v>
      </c>
      <c r="L41" s="66">
        <v>5206466</v>
      </c>
      <c r="M41" s="66">
        <v>1230749990</v>
      </c>
      <c r="N41" s="66">
        <v>52884203</v>
      </c>
      <c r="O41" s="67">
        <v>38684180</v>
      </c>
      <c r="P41" s="66">
        <v>1326772</v>
      </c>
      <c r="Q41" s="67">
        <v>3879313</v>
      </c>
      <c r="R41" s="67">
        <v>369087</v>
      </c>
      <c r="S41" s="66">
        <v>2874885</v>
      </c>
      <c r="T41" s="66">
        <v>34363466</v>
      </c>
      <c r="U41" s="66">
        <v>6127646</v>
      </c>
      <c r="V41" s="66">
        <v>154038664</v>
      </c>
      <c r="W41" s="66">
        <v>242733602</v>
      </c>
      <c r="X41" s="67">
        <v>17401394</v>
      </c>
      <c r="Y41" s="67">
        <v>34546744</v>
      </c>
      <c r="Z41" s="67">
        <v>34312070</v>
      </c>
      <c r="AA41" s="66">
        <v>28206827</v>
      </c>
      <c r="AB41" s="66">
        <v>55266459</v>
      </c>
      <c r="AC41" s="66">
        <v>118227504</v>
      </c>
      <c r="AD41" s="66">
        <v>69876513</v>
      </c>
      <c r="AE41" s="66">
        <v>289113024</v>
      </c>
      <c r="AF41" s="67">
        <v>3113347</v>
      </c>
      <c r="AG41" s="67">
        <v>43404291</v>
      </c>
      <c r="AH41" s="67">
        <v>280062023</v>
      </c>
      <c r="AI41" s="66">
        <v>172555785</v>
      </c>
      <c r="AJ41" s="66">
        <v>74800103</v>
      </c>
      <c r="AK41" s="66">
        <v>97728857</v>
      </c>
      <c r="AL41" s="66">
        <v>26825</v>
      </c>
      <c r="AM41" s="66">
        <v>107506238</v>
      </c>
      <c r="AN41" s="66">
        <v>5522821</v>
      </c>
      <c r="AO41" s="67">
        <v>2550970</v>
      </c>
      <c r="AP41" s="66">
        <v>2163397</v>
      </c>
      <c r="AQ41" s="67">
        <v>5154733</v>
      </c>
      <c r="AR41" s="66">
        <v>19727840</v>
      </c>
      <c r="AS41" s="66">
        <v>7026658</v>
      </c>
      <c r="AT41" s="66">
        <v>3407952</v>
      </c>
      <c r="AU41" s="66">
        <v>15998599</v>
      </c>
      <c r="AV41" s="66">
        <v>4453387</v>
      </c>
      <c r="AW41" s="66">
        <v>20460136</v>
      </c>
      <c r="AX41" s="67">
        <v>3161596</v>
      </c>
      <c r="AY41" s="66">
        <v>17878152</v>
      </c>
      <c r="AZ41" s="67">
        <v>0</v>
      </c>
      <c r="BA41" s="66">
        <v>152738335</v>
      </c>
      <c r="BB41" s="66">
        <v>122208356</v>
      </c>
      <c r="BC41" s="66">
        <v>7531843</v>
      </c>
      <c r="BD41" s="66">
        <v>833973</v>
      </c>
      <c r="BE41" s="66">
        <v>2928576</v>
      </c>
      <c r="BF41" s="66">
        <v>17024190</v>
      </c>
      <c r="BG41" s="67">
        <v>2211397</v>
      </c>
      <c r="BH41" s="66">
        <v>429753377</v>
      </c>
      <c r="BI41" s="67">
        <v>58073988</v>
      </c>
      <c r="BJ41" s="66">
        <v>16924064</v>
      </c>
      <c r="BK41" s="66">
        <v>52147700</v>
      </c>
      <c r="BL41" s="66">
        <v>272991157</v>
      </c>
      <c r="BM41" s="66">
        <v>23292767</v>
      </c>
      <c r="BN41" s="67">
        <v>6323701</v>
      </c>
      <c r="BO41" s="67">
        <v>4359428113</v>
      </c>
      <c r="BP41" s="66">
        <v>255304117</v>
      </c>
      <c r="BQ41" s="66">
        <v>1398539290</v>
      </c>
      <c r="BR41" s="67">
        <v>2567305187</v>
      </c>
      <c r="BS41" s="67">
        <v>138279518</v>
      </c>
      <c r="BT41" s="66">
        <v>89910557</v>
      </c>
      <c r="BU41" s="66">
        <v>65109761</v>
      </c>
      <c r="BV41" s="66">
        <v>22677976</v>
      </c>
      <c r="BW41" s="67">
        <v>2122820</v>
      </c>
      <c r="BX41" s="66">
        <v>87778707</v>
      </c>
      <c r="BY41" s="66">
        <v>411994952</v>
      </c>
      <c r="BZ41" s="67">
        <v>26570540</v>
      </c>
      <c r="CA41" s="66">
        <v>16883558</v>
      </c>
      <c r="CB41" s="67">
        <v>9686982</v>
      </c>
      <c r="CC41" s="67">
        <v>4644772</v>
      </c>
      <c r="CD41" s="66">
        <v>30706000</v>
      </c>
      <c r="CE41" s="66">
        <v>11342482</v>
      </c>
      <c r="CF41" s="66">
        <v>6899711</v>
      </c>
      <c r="CG41" s="66">
        <v>12463807</v>
      </c>
      <c r="CH41" s="66">
        <v>9535840</v>
      </c>
      <c r="CI41" s="67">
        <v>3890919</v>
      </c>
      <c r="CJ41" s="67">
        <v>5644921</v>
      </c>
      <c r="CK41" s="66">
        <v>63087083</v>
      </c>
      <c r="CL41" s="66">
        <v>35092920</v>
      </c>
      <c r="CM41" s="66">
        <v>27994163</v>
      </c>
      <c r="CN41" s="66">
        <v>12702210</v>
      </c>
      <c r="CO41" s="66">
        <v>2677864</v>
      </c>
      <c r="CP41" s="66">
        <v>9044486</v>
      </c>
      <c r="CQ41" s="66">
        <v>979861</v>
      </c>
      <c r="CR41" s="68">
        <v>10025</v>
      </c>
    </row>
    <row r="42" spans="1:96" s="69" customFormat="1" ht="10.199999999999999" x14ac:dyDescent="0.2">
      <c r="A42" s="65" t="s">
        <v>273</v>
      </c>
      <c r="B42" s="66">
        <v>3184460920</v>
      </c>
      <c r="C42" s="66">
        <v>10175233</v>
      </c>
      <c r="D42" s="66">
        <v>8500977</v>
      </c>
      <c r="E42" s="66">
        <v>787434</v>
      </c>
      <c r="F42" s="66">
        <v>886822</v>
      </c>
      <c r="G42" s="66">
        <v>35162167</v>
      </c>
      <c r="H42" s="67">
        <v>90364602</v>
      </c>
      <c r="I42" s="66">
        <v>16268190</v>
      </c>
      <c r="J42" s="67">
        <v>5566135</v>
      </c>
      <c r="K42" s="66">
        <v>5529977</v>
      </c>
      <c r="L42" s="66">
        <v>5172077</v>
      </c>
      <c r="M42" s="66">
        <v>414337824</v>
      </c>
      <c r="N42" s="66">
        <v>31220488</v>
      </c>
      <c r="O42" s="67">
        <v>11870011</v>
      </c>
      <c r="P42" s="66">
        <v>2181221</v>
      </c>
      <c r="Q42" s="67">
        <v>1826340</v>
      </c>
      <c r="R42" s="67">
        <v>214665</v>
      </c>
      <c r="S42" s="66">
        <v>2433588</v>
      </c>
      <c r="T42" s="66">
        <v>8311914</v>
      </c>
      <c r="U42" s="66">
        <v>3326046</v>
      </c>
      <c r="V42" s="66">
        <v>26185514</v>
      </c>
      <c r="W42" s="66">
        <v>64247992</v>
      </c>
      <c r="X42" s="67">
        <v>8518111</v>
      </c>
      <c r="Y42" s="67">
        <v>5172453</v>
      </c>
      <c r="Z42" s="67">
        <v>13981498</v>
      </c>
      <c r="AA42" s="66">
        <v>37453108</v>
      </c>
      <c r="AB42" s="66">
        <v>23737411</v>
      </c>
      <c r="AC42" s="66">
        <v>80968480</v>
      </c>
      <c r="AD42" s="66">
        <v>11809751</v>
      </c>
      <c r="AE42" s="66">
        <v>60990511</v>
      </c>
      <c r="AF42" s="67">
        <v>1425655</v>
      </c>
      <c r="AG42" s="67">
        <v>18463065</v>
      </c>
      <c r="AH42" s="67">
        <v>142166404</v>
      </c>
      <c r="AI42" s="66">
        <v>89373201</v>
      </c>
      <c r="AJ42" s="66">
        <v>45306375</v>
      </c>
      <c r="AK42" s="66">
        <v>43715296</v>
      </c>
      <c r="AL42" s="66">
        <v>351530</v>
      </c>
      <c r="AM42" s="66">
        <v>52793203</v>
      </c>
      <c r="AN42" s="66">
        <v>9627078</v>
      </c>
      <c r="AO42" s="67">
        <v>1653226</v>
      </c>
      <c r="AP42" s="66">
        <v>4224138</v>
      </c>
      <c r="AQ42" s="67">
        <v>2446281</v>
      </c>
      <c r="AR42" s="66">
        <v>13706130</v>
      </c>
      <c r="AS42" s="66">
        <v>3128406</v>
      </c>
      <c r="AT42" s="66">
        <v>1540931</v>
      </c>
      <c r="AU42" s="66">
        <v>4473901</v>
      </c>
      <c r="AV42" s="66">
        <v>1003514</v>
      </c>
      <c r="AW42" s="66">
        <v>1771761</v>
      </c>
      <c r="AX42" s="67">
        <v>3988650</v>
      </c>
      <c r="AY42" s="66">
        <v>5229187</v>
      </c>
      <c r="AZ42" s="67">
        <v>0</v>
      </c>
      <c r="BA42" s="66">
        <v>24647121</v>
      </c>
      <c r="BB42" s="66">
        <v>18723571</v>
      </c>
      <c r="BC42" s="66">
        <v>1908399</v>
      </c>
      <c r="BD42" s="66">
        <v>540037</v>
      </c>
      <c r="BE42" s="66">
        <v>601703</v>
      </c>
      <c r="BF42" s="66">
        <v>2099535</v>
      </c>
      <c r="BG42" s="67">
        <v>773876</v>
      </c>
      <c r="BH42" s="66">
        <v>149938912</v>
      </c>
      <c r="BI42" s="67">
        <v>29461355</v>
      </c>
      <c r="BJ42" s="66">
        <v>6771883</v>
      </c>
      <c r="BK42" s="66">
        <v>7164622</v>
      </c>
      <c r="BL42" s="66">
        <v>82441266</v>
      </c>
      <c r="BM42" s="66">
        <v>4443356</v>
      </c>
      <c r="BN42" s="67">
        <v>19656429</v>
      </c>
      <c r="BO42" s="67">
        <v>1652778911</v>
      </c>
      <c r="BP42" s="66">
        <v>93358405</v>
      </c>
      <c r="BQ42" s="66">
        <v>223482704</v>
      </c>
      <c r="BR42" s="67">
        <v>112641017</v>
      </c>
      <c r="BS42" s="67">
        <v>1223296785</v>
      </c>
      <c r="BT42" s="66">
        <v>107823515</v>
      </c>
      <c r="BU42" s="66">
        <v>98891092</v>
      </c>
      <c r="BV42" s="66">
        <v>4151336</v>
      </c>
      <c r="BW42" s="67">
        <v>4781088</v>
      </c>
      <c r="BX42" s="66">
        <v>109837725</v>
      </c>
      <c r="BY42" s="66">
        <v>369585830</v>
      </c>
      <c r="BZ42" s="67">
        <v>13631337</v>
      </c>
      <c r="CA42" s="66">
        <v>11887591</v>
      </c>
      <c r="CB42" s="67">
        <v>1743746</v>
      </c>
      <c r="CC42" s="67">
        <v>2322235</v>
      </c>
      <c r="CD42" s="66">
        <v>12121514</v>
      </c>
      <c r="CE42" s="66">
        <v>6614420</v>
      </c>
      <c r="CF42" s="66">
        <v>3316834</v>
      </c>
      <c r="CG42" s="66">
        <v>2190259</v>
      </c>
      <c r="CH42" s="66">
        <v>8317541</v>
      </c>
      <c r="CI42" s="67">
        <v>1611987</v>
      </c>
      <c r="CJ42" s="67">
        <v>6705554</v>
      </c>
      <c r="CK42" s="66">
        <v>16607504</v>
      </c>
      <c r="CL42" s="66">
        <v>5705831</v>
      </c>
      <c r="CM42" s="66">
        <v>10901673</v>
      </c>
      <c r="CN42" s="66">
        <v>8363779</v>
      </c>
      <c r="CO42" s="66">
        <v>3849668</v>
      </c>
      <c r="CP42" s="66">
        <v>3572920</v>
      </c>
      <c r="CQ42" s="66">
        <v>941191</v>
      </c>
      <c r="CR42" s="68">
        <v>10577</v>
      </c>
    </row>
    <row r="43" spans="1:96" s="69" customFormat="1" ht="10.199999999999999" x14ac:dyDescent="0.2">
      <c r="A43" s="65" t="s">
        <v>274</v>
      </c>
      <c r="B43" s="66">
        <v>23574012952</v>
      </c>
      <c r="C43" s="66">
        <v>31944003</v>
      </c>
      <c r="D43" s="66">
        <v>25385840</v>
      </c>
      <c r="E43" s="66">
        <v>3490799</v>
      </c>
      <c r="F43" s="66">
        <v>3067364</v>
      </c>
      <c r="G43" s="66">
        <v>233058617</v>
      </c>
      <c r="H43" s="67">
        <v>284016785</v>
      </c>
      <c r="I43" s="66">
        <v>91265652</v>
      </c>
      <c r="J43" s="67">
        <v>33255793</v>
      </c>
      <c r="K43" s="66">
        <v>38608521</v>
      </c>
      <c r="L43" s="66">
        <v>19401339</v>
      </c>
      <c r="M43" s="66">
        <v>2763555282</v>
      </c>
      <c r="N43" s="66">
        <v>136103359</v>
      </c>
      <c r="O43" s="67">
        <v>68594652</v>
      </c>
      <c r="P43" s="66">
        <v>6394959</v>
      </c>
      <c r="Q43" s="67">
        <v>7131756</v>
      </c>
      <c r="R43" s="67">
        <v>1014158</v>
      </c>
      <c r="S43" s="66">
        <v>6913370</v>
      </c>
      <c r="T43" s="66">
        <v>72431043</v>
      </c>
      <c r="U43" s="66">
        <v>9954530</v>
      </c>
      <c r="V43" s="66">
        <v>505751936</v>
      </c>
      <c r="W43" s="66">
        <v>482950945</v>
      </c>
      <c r="X43" s="67">
        <v>36296255</v>
      </c>
      <c r="Y43" s="67">
        <v>46089668</v>
      </c>
      <c r="Z43" s="67">
        <v>73135188</v>
      </c>
      <c r="AA43" s="66">
        <v>85412358</v>
      </c>
      <c r="AB43" s="66">
        <v>106893945</v>
      </c>
      <c r="AC43" s="66">
        <v>649143725</v>
      </c>
      <c r="AD43" s="66">
        <v>147652834</v>
      </c>
      <c r="AE43" s="66">
        <v>221882948</v>
      </c>
      <c r="AF43" s="67">
        <v>3884203</v>
      </c>
      <c r="AG43" s="67">
        <v>95923449</v>
      </c>
      <c r="AH43" s="67">
        <v>645609555</v>
      </c>
      <c r="AI43" s="66">
        <v>349261326</v>
      </c>
      <c r="AJ43" s="66">
        <v>145319681</v>
      </c>
      <c r="AK43" s="66">
        <v>203658893</v>
      </c>
      <c r="AL43" s="66">
        <v>282752</v>
      </c>
      <c r="AM43" s="66">
        <v>296348229</v>
      </c>
      <c r="AN43" s="66">
        <v>19527989</v>
      </c>
      <c r="AO43" s="67">
        <v>6228255</v>
      </c>
      <c r="AP43" s="66">
        <v>6068416</v>
      </c>
      <c r="AQ43" s="67">
        <v>9809483</v>
      </c>
      <c r="AR43" s="66">
        <v>21740649</v>
      </c>
      <c r="AS43" s="66">
        <v>43440519</v>
      </c>
      <c r="AT43" s="66">
        <v>6681286</v>
      </c>
      <c r="AU43" s="66">
        <v>29539583</v>
      </c>
      <c r="AV43" s="66">
        <v>8602010</v>
      </c>
      <c r="AW43" s="66">
        <v>40833830</v>
      </c>
      <c r="AX43" s="67">
        <v>17541767</v>
      </c>
      <c r="AY43" s="66">
        <v>86334441</v>
      </c>
      <c r="AZ43" s="67">
        <v>0</v>
      </c>
      <c r="BA43" s="66">
        <v>135739349</v>
      </c>
      <c r="BB43" s="66">
        <v>89070591</v>
      </c>
      <c r="BC43" s="66">
        <v>9248129</v>
      </c>
      <c r="BD43" s="66">
        <v>3825967</v>
      </c>
      <c r="BE43" s="66">
        <v>3582268</v>
      </c>
      <c r="BF43" s="66">
        <v>22173260</v>
      </c>
      <c r="BG43" s="67">
        <v>7839134</v>
      </c>
      <c r="BH43" s="66">
        <v>1148905377</v>
      </c>
      <c r="BI43" s="67">
        <v>240114206</v>
      </c>
      <c r="BJ43" s="66">
        <v>39886002</v>
      </c>
      <c r="BK43" s="66">
        <v>135393828</v>
      </c>
      <c r="BL43" s="66">
        <v>656763468</v>
      </c>
      <c r="BM43" s="66">
        <v>31925087</v>
      </c>
      <c r="BN43" s="67">
        <v>44822786</v>
      </c>
      <c r="BO43" s="67">
        <v>14818661154</v>
      </c>
      <c r="BP43" s="66">
        <v>239773654</v>
      </c>
      <c r="BQ43" s="66">
        <v>616923817</v>
      </c>
      <c r="BR43" s="67">
        <v>1043214374</v>
      </c>
      <c r="BS43" s="67">
        <v>12918749309</v>
      </c>
      <c r="BT43" s="66">
        <v>551849429</v>
      </c>
      <c r="BU43" s="66">
        <v>507296453</v>
      </c>
      <c r="BV43" s="66">
        <v>39434110</v>
      </c>
      <c r="BW43" s="67">
        <v>5118867</v>
      </c>
      <c r="BX43" s="66">
        <v>401381079</v>
      </c>
      <c r="BY43" s="66">
        <v>2106239938</v>
      </c>
      <c r="BZ43" s="67">
        <v>95810291</v>
      </c>
      <c r="CA43" s="66">
        <v>67072762</v>
      </c>
      <c r="CB43" s="67">
        <v>28737528</v>
      </c>
      <c r="CC43" s="67">
        <v>12065768</v>
      </c>
      <c r="CD43" s="66">
        <v>106273033</v>
      </c>
      <c r="CE43" s="66">
        <v>29907982</v>
      </c>
      <c r="CF43" s="66">
        <v>23045399</v>
      </c>
      <c r="CG43" s="66">
        <v>53319651</v>
      </c>
      <c r="CH43" s="66">
        <v>31959198</v>
      </c>
      <c r="CI43" s="67">
        <v>11112349</v>
      </c>
      <c r="CJ43" s="67">
        <v>20846848</v>
      </c>
      <c r="CK43" s="66">
        <v>98586553</v>
      </c>
      <c r="CL43" s="66">
        <v>57036819</v>
      </c>
      <c r="CM43" s="66">
        <v>41549734</v>
      </c>
      <c r="CN43" s="66">
        <v>17081216</v>
      </c>
      <c r="CO43" s="66">
        <v>6374889</v>
      </c>
      <c r="CP43" s="66">
        <v>9099054</v>
      </c>
      <c r="CQ43" s="66">
        <v>1607274</v>
      </c>
      <c r="CR43" s="68">
        <v>10675</v>
      </c>
    </row>
    <row r="44" spans="1:96" s="69" customFormat="1" ht="10.199999999999999" x14ac:dyDescent="0.2">
      <c r="A44" s="65" t="s">
        <v>275</v>
      </c>
      <c r="B44" s="66">
        <v>129882504</v>
      </c>
      <c r="C44" s="66">
        <v>255651</v>
      </c>
      <c r="D44" s="66">
        <v>197103</v>
      </c>
      <c r="E44" s="70">
        <v>45087</v>
      </c>
      <c r="F44" s="70">
        <v>13461</v>
      </c>
      <c r="G44" s="66">
        <v>471860</v>
      </c>
      <c r="H44" s="67">
        <v>2241071</v>
      </c>
      <c r="I44" s="66">
        <v>1213292</v>
      </c>
      <c r="J44" s="68">
        <v>533201</v>
      </c>
      <c r="K44" s="66">
        <v>169259</v>
      </c>
      <c r="L44" s="66">
        <v>510832</v>
      </c>
      <c r="M44" s="66">
        <v>6978529</v>
      </c>
      <c r="N44" s="70">
        <v>90920</v>
      </c>
      <c r="O44" s="67">
        <v>0</v>
      </c>
      <c r="P44" s="66">
        <v>1977</v>
      </c>
      <c r="Q44" s="67">
        <v>201</v>
      </c>
      <c r="R44" s="67">
        <v>102</v>
      </c>
      <c r="S44" s="70">
        <v>54776</v>
      </c>
      <c r="T44" s="66">
        <v>41192</v>
      </c>
      <c r="U44" s="70">
        <v>21067</v>
      </c>
      <c r="V44" s="66">
        <v>2184066</v>
      </c>
      <c r="W44" s="66">
        <v>48944</v>
      </c>
      <c r="X44" s="68">
        <v>55130</v>
      </c>
      <c r="Y44" s="68">
        <v>35903</v>
      </c>
      <c r="Z44" s="68">
        <v>3308</v>
      </c>
      <c r="AA44" s="66">
        <v>222506</v>
      </c>
      <c r="AB44" s="66">
        <v>171014</v>
      </c>
      <c r="AC44" s="66">
        <v>2326013</v>
      </c>
      <c r="AD44" s="70">
        <v>1163991</v>
      </c>
      <c r="AE44" s="66">
        <v>70676</v>
      </c>
      <c r="AF44" s="68">
        <v>10542</v>
      </c>
      <c r="AG44" s="67">
        <v>476204</v>
      </c>
      <c r="AH44" s="67">
        <v>2254673</v>
      </c>
      <c r="AI44" s="66">
        <v>1092092</v>
      </c>
      <c r="AJ44" s="66">
        <v>645952</v>
      </c>
      <c r="AK44" s="66">
        <v>446140</v>
      </c>
      <c r="AL44" s="66">
        <v>0</v>
      </c>
      <c r="AM44" s="66">
        <v>1162581</v>
      </c>
      <c r="AN44" s="66">
        <v>212130</v>
      </c>
      <c r="AO44" s="68">
        <v>44675</v>
      </c>
      <c r="AP44" s="70">
        <v>6532</v>
      </c>
      <c r="AQ44" s="68">
        <v>132837</v>
      </c>
      <c r="AR44" s="70">
        <v>112805</v>
      </c>
      <c r="AS44" s="70">
        <v>41833</v>
      </c>
      <c r="AT44" s="70">
        <v>40648</v>
      </c>
      <c r="AU44" s="70">
        <v>6644</v>
      </c>
      <c r="AV44" s="70">
        <v>35602</v>
      </c>
      <c r="AW44" s="70">
        <v>473841</v>
      </c>
      <c r="AX44" s="68">
        <v>41786</v>
      </c>
      <c r="AY44" s="70">
        <v>13248</v>
      </c>
      <c r="AZ44" s="67">
        <v>0</v>
      </c>
      <c r="BA44" s="66">
        <v>108077</v>
      </c>
      <c r="BB44" s="66">
        <v>8676</v>
      </c>
      <c r="BC44" s="70">
        <v>9209</v>
      </c>
      <c r="BD44" s="70">
        <v>54217</v>
      </c>
      <c r="BE44" s="66">
        <v>1771</v>
      </c>
      <c r="BF44" s="70">
        <v>28695</v>
      </c>
      <c r="BG44" s="68">
        <v>5509</v>
      </c>
      <c r="BH44" s="66">
        <v>1695366</v>
      </c>
      <c r="BI44" s="67">
        <v>691553</v>
      </c>
      <c r="BJ44" s="66" t="s">
        <v>287</v>
      </c>
      <c r="BK44" s="70">
        <v>180952</v>
      </c>
      <c r="BL44" s="66">
        <v>723930</v>
      </c>
      <c r="BM44" s="66">
        <v>98108</v>
      </c>
      <c r="BN44" s="67">
        <v>823</v>
      </c>
      <c r="BO44" s="67">
        <v>103828529</v>
      </c>
      <c r="BP44" s="66">
        <v>2184057</v>
      </c>
      <c r="BQ44" s="66">
        <v>201137</v>
      </c>
      <c r="BR44" s="67">
        <v>89868364</v>
      </c>
      <c r="BS44" s="67">
        <v>11574970</v>
      </c>
      <c r="BT44" s="66">
        <v>1883966</v>
      </c>
      <c r="BU44" s="66">
        <v>1838523</v>
      </c>
      <c r="BV44" s="70">
        <v>45442</v>
      </c>
      <c r="BW44" s="67">
        <v>0</v>
      </c>
      <c r="BX44" s="66">
        <v>445421</v>
      </c>
      <c r="BY44" s="66">
        <v>1954055</v>
      </c>
      <c r="BZ44" s="67">
        <v>251594</v>
      </c>
      <c r="CA44" s="66">
        <v>184920</v>
      </c>
      <c r="CB44" s="68">
        <v>66673</v>
      </c>
      <c r="CC44" s="68">
        <v>3192</v>
      </c>
      <c r="CD44" s="66">
        <v>61840</v>
      </c>
      <c r="CE44" s="70">
        <v>27529</v>
      </c>
      <c r="CF44" s="70">
        <v>10655</v>
      </c>
      <c r="CG44" s="70">
        <v>23655</v>
      </c>
      <c r="CH44" s="70">
        <v>132882</v>
      </c>
      <c r="CI44" s="68">
        <v>27896</v>
      </c>
      <c r="CJ44" s="68">
        <v>104986</v>
      </c>
      <c r="CK44" s="66">
        <v>1638354</v>
      </c>
      <c r="CL44" s="70">
        <v>4563</v>
      </c>
      <c r="CM44" s="66">
        <v>1633791</v>
      </c>
      <c r="CN44" s="66">
        <v>4464152</v>
      </c>
      <c r="CO44" s="66">
        <v>75116</v>
      </c>
      <c r="CP44" s="70">
        <v>42170</v>
      </c>
      <c r="CQ44" s="66">
        <v>4346866</v>
      </c>
      <c r="CR44" s="67">
        <v>0</v>
      </c>
    </row>
    <row r="45" spans="1:96" s="69" customFormat="1" ht="10.199999999999999" x14ac:dyDescent="0.2">
      <c r="A45" s="65" t="s">
        <v>33</v>
      </c>
      <c r="B45" s="66">
        <v>483471935</v>
      </c>
      <c r="C45" s="66">
        <v>3564179</v>
      </c>
      <c r="D45" s="66">
        <v>-325180</v>
      </c>
      <c r="E45" s="66">
        <v>2557679</v>
      </c>
      <c r="F45" s="66">
        <v>1331681</v>
      </c>
      <c r="G45" s="66">
        <v>141813935</v>
      </c>
      <c r="H45" s="67">
        <v>32028436</v>
      </c>
      <c r="I45" s="66">
        <v>128976896</v>
      </c>
      <c r="J45" s="67">
        <v>44792943</v>
      </c>
      <c r="K45" s="66">
        <v>30131406</v>
      </c>
      <c r="L45" s="66">
        <v>54052547</v>
      </c>
      <c r="M45" s="66">
        <v>1149168577</v>
      </c>
      <c r="N45" s="66">
        <v>87978241</v>
      </c>
      <c r="O45" s="67">
        <v>64830524</v>
      </c>
      <c r="P45" s="66">
        <v>4120637</v>
      </c>
      <c r="Q45" s="67">
        <v>8129292</v>
      </c>
      <c r="R45" s="67">
        <v>1781021</v>
      </c>
      <c r="S45" s="66">
        <v>10050634</v>
      </c>
      <c r="T45" s="66">
        <v>32406258</v>
      </c>
      <c r="U45" s="66">
        <v>4914606</v>
      </c>
      <c r="V45" s="66">
        <v>463131803</v>
      </c>
      <c r="W45" s="66">
        <v>342143546</v>
      </c>
      <c r="X45" s="67">
        <v>-250854</v>
      </c>
      <c r="Y45" s="67">
        <v>-2222240</v>
      </c>
      <c r="Z45" s="67">
        <v>34449108</v>
      </c>
      <c r="AA45" s="66">
        <v>63855450</v>
      </c>
      <c r="AB45" s="66">
        <v>75496818</v>
      </c>
      <c r="AC45" s="66">
        <v>-91174621</v>
      </c>
      <c r="AD45" s="66">
        <v>46950647</v>
      </c>
      <c r="AE45" s="66">
        <v>-36128168</v>
      </c>
      <c r="AF45" s="67">
        <v>7795789</v>
      </c>
      <c r="AG45" s="67">
        <v>30910086</v>
      </c>
      <c r="AH45" s="67">
        <v>646442320</v>
      </c>
      <c r="AI45" s="66">
        <v>395361928</v>
      </c>
      <c r="AJ45" s="66">
        <v>112731036</v>
      </c>
      <c r="AK45" s="66">
        <v>282243831</v>
      </c>
      <c r="AL45" s="66">
        <v>387061</v>
      </c>
      <c r="AM45" s="66">
        <v>251080566</v>
      </c>
      <c r="AN45" s="66">
        <v>29175368</v>
      </c>
      <c r="AO45" s="67">
        <v>8237468</v>
      </c>
      <c r="AP45" s="66">
        <v>5832538</v>
      </c>
      <c r="AQ45" s="67">
        <v>43204406</v>
      </c>
      <c r="AR45" s="66">
        <v>34693349</v>
      </c>
      <c r="AS45" s="66">
        <v>26571153</v>
      </c>
      <c r="AT45" s="66">
        <v>4590526</v>
      </c>
      <c r="AU45" s="66">
        <v>26402037</v>
      </c>
      <c r="AV45" s="66">
        <v>6518722</v>
      </c>
      <c r="AW45" s="66">
        <v>85302094</v>
      </c>
      <c r="AX45" s="67">
        <v>5643544</v>
      </c>
      <c r="AY45" s="66">
        <v>-25090638</v>
      </c>
      <c r="AZ45" s="68">
        <v>-174</v>
      </c>
      <c r="BA45" s="66">
        <v>35427414</v>
      </c>
      <c r="BB45" s="66">
        <v>-6690887</v>
      </c>
      <c r="BC45" s="66">
        <v>18010612</v>
      </c>
      <c r="BD45" s="66">
        <v>-280595</v>
      </c>
      <c r="BE45" s="66">
        <v>1511912</v>
      </c>
      <c r="BF45" s="66">
        <v>19684532</v>
      </c>
      <c r="BG45" s="67">
        <v>3191841</v>
      </c>
      <c r="BH45" s="66">
        <v>-270507703</v>
      </c>
      <c r="BI45" s="67">
        <v>-14136410</v>
      </c>
      <c r="BJ45" s="66">
        <v>18075716</v>
      </c>
      <c r="BK45" s="66">
        <v>-65686543</v>
      </c>
      <c r="BL45" s="66">
        <v>-186689637</v>
      </c>
      <c r="BM45" s="66">
        <v>-7679752</v>
      </c>
      <c r="BN45" s="67">
        <v>-14391077</v>
      </c>
      <c r="BO45" s="67">
        <v>-1721471175</v>
      </c>
      <c r="BP45" s="66">
        <v>-72764460</v>
      </c>
      <c r="BQ45" s="66">
        <v>27305335</v>
      </c>
      <c r="BR45" s="67">
        <v>404238822</v>
      </c>
      <c r="BS45" s="67">
        <v>-2080250873</v>
      </c>
      <c r="BT45" s="66">
        <v>-36574816</v>
      </c>
      <c r="BU45" s="66">
        <v>-42054751</v>
      </c>
      <c r="BV45" s="66">
        <v>3733406</v>
      </c>
      <c r="BW45" s="67">
        <v>1746529</v>
      </c>
      <c r="BX45" s="66">
        <v>-212806142</v>
      </c>
      <c r="BY45" s="66">
        <v>616888425</v>
      </c>
      <c r="BZ45" s="67">
        <v>2251124</v>
      </c>
      <c r="CA45" s="66">
        <v>6574307</v>
      </c>
      <c r="CB45" s="67">
        <v>-4323184</v>
      </c>
      <c r="CC45" s="67">
        <v>2668196</v>
      </c>
      <c r="CD45" s="66">
        <v>-48839897</v>
      </c>
      <c r="CE45" s="66">
        <v>-7796652</v>
      </c>
      <c r="CF45" s="66">
        <v>-6092813</v>
      </c>
      <c r="CG45" s="66">
        <v>-34950432</v>
      </c>
      <c r="CH45" s="66">
        <v>-16164311</v>
      </c>
      <c r="CI45" s="67">
        <v>-6201106</v>
      </c>
      <c r="CJ45" s="67">
        <v>-9963206</v>
      </c>
      <c r="CK45" s="66">
        <v>22325763</v>
      </c>
      <c r="CL45" s="66">
        <v>-7779752</v>
      </c>
      <c r="CM45" s="66">
        <v>30105515</v>
      </c>
      <c r="CN45" s="66">
        <v>8245641</v>
      </c>
      <c r="CO45" s="66">
        <v>350586</v>
      </c>
      <c r="CP45" s="66">
        <v>4641154</v>
      </c>
      <c r="CQ45" s="66">
        <v>3253901</v>
      </c>
      <c r="CR45" s="68">
        <v>35073</v>
      </c>
    </row>
    <row r="46" spans="1:96" s="64" customFormat="1" ht="10.199999999999999" x14ac:dyDescent="0.2">
      <c r="A46" s="65" t="s">
        <v>276</v>
      </c>
      <c r="B46" s="66">
        <v>1902933815</v>
      </c>
      <c r="C46" s="66">
        <v>2980642</v>
      </c>
      <c r="D46" s="66">
        <v>2705051</v>
      </c>
      <c r="E46" s="66">
        <v>107508</v>
      </c>
      <c r="F46" s="66">
        <v>168084</v>
      </c>
      <c r="G46" s="66">
        <v>25461066</v>
      </c>
      <c r="H46" s="67">
        <v>19999578</v>
      </c>
      <c r="I46" s="66">
        <v>15480873</v>
      </c>
      <c r="J46" s="67">
        <v>8524338</v>
      </c>
      <c r="K46" s="66">
        <v>2691692</v>
      </c>
      <c r="L46" s="66">
        <v>4264844</v>
      </c>
      <c r="M46" s="66">
        <v>993865651</v>
      </c>
      <c r="N46" s="66">
        <v>47618592</v>
      </c>
      <c r="O46" s="67">
        <v>75500921</v>
      </c>
      <c r="P46" s="66">
        <v>953720</v>
      </c>
      <c r="Q46" s="67">
        <v>5129711</v>
      </c>
      <c r="R46" s="67">
        <v>1061713</v>
      </c>
      <c r="S46" s="66">
        <v>1448078</v>
      </c>
      <c r="T46" s="66">
        <v>19784355</v>
      </c>
      <c r="U46" s="66">
        <v>3515930</v>
      </c>
      <c r="V46" s="66">
        <v>204213008</v>
      </c>
      <c r="W46" s="66">
        <v>253123486</v>
      </c>
      <c r="X46" s="67">
        <v>3511407</v>
      </c>
      <c r="Y46" s="67">
        <v>1665654</v>
      </c>
      <c r="Z46" s="67">
        <v>11548204</v>
      </c>
      <c r="AA46" s="66">
        <v>15975077</v>
      </c>
      <c r="AB46" s="66">
        <v>53211930</v>
      </c>
      <c r="AC46" s="66">
        <v>161022390</v>
      </c>
      <c r="AD46" s="66">
        <v>49466976</v>
      </c>
      <c r="AE46" s="66">
        <v>61432961</v>
      </c>
      <c r="AF46" s="67">
        <v>1611975</v>
      </c>
      <c r="AG46" s="67">
        <v>22069564</v>
      </c>
      <c r="AH46" s="67">
        <v>154386207</v>
      </c>
      <c r="AI46" s="66">
        <v>52947280</v>
      </c>
      <c r="AJ46" s="66">
        <v>16952783</v>
      </c>
      <c r="AK46" s="66">
        <v>35879509</v>
      </c>
      <c r="AL46" s="70">
        <v>114987</v>
      </c>
      <c r="AM46" s="66">
        <v>101438927</v>
      </c>
      <c r="AN46" s="66">
        <v>4997938</v>
      </c>
      <c r="AO46" s="67">
        <v>3816675</v>
      </c>
      <c r="AP46" s="66">
        <v>2412941</v>
      </c>
      <c r="AQ46" s="67">
        <v>1669328</v>
      </c>
      <c r="AR46" s="66">
        <v>13406644</v>
      </c>
      <c r="AS46" s="66">
        <v>11223977</v>
      </c>
      <c r="AT46" s="66">
        <v>593004</v>
      </c>
      <c r="AU46" s="66">
        <v>20053202</v>
      </c>
      <c r="AV46" s="66">
        <v>8603186</v>
      </c>
      <c r="AW46" s="66">
        <v>12949268</v>
      </c>
      <c r="AX46" s="67">
        <v>7126354</v>
      </c>
      <c r="AY46" s="66">
        <v>14586410</v>
      </c>
      <c r="AZ46" s="67">
        <v>0</v>
      </c>
      <c r="BA46" s="66">
        <v>21053904</v>
      </c>
      <c r="BB46" s="66">
        <v>15366864</v>
      </c>
      <c r="BC46" s="66">
        <v>3355047</v>
      </c>
      <c r="BD46" s="66">
        <v>243115</v>
      </c>
      <c r="BE46" s="70">
        <v>392271</v>
      </c>
      <c r="BF46" s="66">
        <v>1480695</v>
      </c>
      <c r="BG46" s="67">
        <v>215912</v>
      </c>
      <c r="BH46" s="66">
        <v>241646186</v>
      </c>
      <c r="BI46" s="67">
        <v>141038164</v>
      </c>
      <c r="BJ46" s="66">
        <v>7573592</v>
      </c>
      <c r="BK46" s="66">
        <v>8287936</v>
      </c>
      <c r="BL46" s="66">
        <v>63770514</v>
      </c>
      <c r="BM46" s="66">
        <v>9397531</v>
      </c>
      <c r="BN46" s="67">
        <v>11578449</v>
      </c>
      <c r="BO46" s="67">
        <v>215537197</v>
      </c>
      <c r="BP46" s="66">
        <v>28744250</v>
      </c>
      <c r="BQ46" s="66">
        <v>81570325</v>
      </c>
      <c r="BR46" s="67">
        <v>103417534</v>
      </c>
      <c r="BS46" s="67">
        <v>1805088</v>
      </c>
      <c r="BT46" s="66">
        <v>24856461</v>
      </c>
      <c r="BU46" s="66">
        <v>13256854</v>
      </c>
      <c r="BV46" s="66">
        <v>10004729</v>
      </c>
      <c r="BW46" s="67">
        <v>1594877</v>
      </c>
      <c r="BX46" s="66">
        <v>35165721</v>
      </c>
      <c r="BY46" s="66">
        <v>63788662</v>
      </c>
      <c r="BZ46" s="67">
        <v>18894025</v>
      </c>
      <c r="CA46" s="66">
        <v>13440458</v>
      </c>
      <c r="CB46" s="67">
        <v>5453567</v>
      </c>
      <c r="CC46" s="67">
        <v>3400662</v>
      </c>
      <c r="CD46" s="66">
        <v>7414231</v>
      </c>
      <c r="CE46" s="66">
        <v>2228674</v>
      </c>
      <c r="CF46" s="66">
        <v>2681734</v>
      </c>
      <c r="CG46" s="66">
        <v>2503823</v>
      </c>
      <c r="CH46" s="66">
        <v>4313853</v>
      </c>
      <c r="CI46" s="67">
        <v>221802</v>
      </c>
      <c r="CJ46" s="67">
        <v>4092051</v>
      </c>
      <c r="CK46" s="66">
        <v>49977173</v>
      </c>
      <c r="CL46" s="66">
        <v>12194494</v>
      </c>
      <c r="CM46" s="66">
        <v>37782679</v>
      </c>
      <c r="CN46" s="66">
        <v>4711723</v>
      </c>
      <c r="CO46" s="66">
        <v>1000513</v>
      </c>
      <c r="CP46" s="66">
        <v>3670299</v>
      </c>
      <c r="CQ46" s="70">
        <v>40911</v>
      </c>
      <c r="CR46" s="67">
        <v>0</v>
      </c>
    </row>
    <row r="47" spans="1:96" s="73" customFormat="1" ht="10.199999999999999" x14ac:dyDescent="0.2">
      <c r="A47" s="57" t="s">
        <v>224</v>
      </c>
      <c r="B47" s="61">
        <v>28589771221</v>
      </c>
      <c r="C47" s="61">
        <v>167541457</v>
      </c>
      <c r="D47" s="61">
        <v>124164603</v>
      </c>
      <c r="E47" s="61">
        <v>13900184</v>
      </c>
      <c r="F47" s="61">
        <v>29476669</v>
      </c>
      <c r="G47" s="61">
        <v>468911425</v>
      </c>
      <c r="H47" s="60">
        <v>778635210</v>
      </c>
      <c r="I47" s="61">
        <v>1479039340</v>
      </c>
      <c r="J47" s="60">
        <v>585911507</v>
      </c>
      <c r="K47" s="61">
        <v>258818963</v>
      </c>
      <c r="L47" s="61">
        <v>634308871</v>
      </c>
      <c r="M47" s="61">
        <v>8181480372</v>
      </c>
      <c r="N47" s="61">
        <v>578380721</v>
      </c>
      <c r="O47" s="60">
        <v>161451491</v>
      </c>
      <c r="P47" s="61">
        <v>37596816</v>
      </c>
      <c r="Q47" s="60">
        <v>59251349</v>
      </c>
      <c r="R47" s="60">
        <v>8609017</v>
      </c>
      <c r="S47" s="61">
        <v>67324494</v>
      </c>
      <c r="T47" s="61">
        <v>206168428</v>
      </c>
      <c r="U47" s="61">
        <v>89604091</v>
      </c>
      <c r="V47" s="61">
        <v>2334045106</v>
      </c>
      <c r="W47" s="61">
        <v>909337971</v>
      </c>
      <c r="X47" s="60">
        <v>175173141</v>
      </c>
      <c r="Y47" s="60">
        <v>118656079</v>
      </c>
      <c r="Z47" s="60">
        <v>312467335</v>
      </c>
      <c r="AA47" s="61">
        <v>337621278</v>
      </c>
      <c r="AB47" s="61">
        <v>424253212</v>
      </c>
      <c r="AC47" s="61">
        <v>722784307</v>
      </c>
      <c r="AD47" s="61">
        <v>402432112</v>
      </c>
      <c r="AE47" s="61">
        <v>908826086</v>
      </c>
      <c r="AF47" s="60">
        <v>64093977</v>
      </c>
      <c r="AG47" s="60">
        <v>263403362</v>
      </c>
      <c r="AH47" s="60">
        <v>7507396192</v>
      </c>
      <c r="AI47" s="61">
        <v>3956695725</v>
      </c>
      <c r="AJ47" s="61">
        <v>1750987283</v>
      </c>
      <c r="AK47" s="61">
        <v>2199405550</v>
      </c>
      <c r="AL47" s="61">
        <v>6302892</v>
      </c>
      <c r="AM47" s="61">
        <v>3550700467</v>
      </c>
      <c r="AN47" s="61">
        <v>715301263</v>
      </c>
      <c r="AO47" s="60">
        <v>86984998</v>
      </c>
      <c r="AP47" s="61">
        <v>120771464</v>
      </c>
      <c r="AQ47" s="60">
        <v>237520452</v>
      </c>
      <c r="AR47" s="61">
        <v>523946208</v>
      </c>
      <c r="AS47" s="61">
        <v>310153816</v>
      </c>
      <c r="AT47" s="61">
        <v>340438995</v>
      </c>
      <c r="AU47" s="61">
        <v>189065736</v>
      </c>
      <c r="AV47" s="61">
        <v>84908949</v>
      </c>
      <c r="AW47" s="61">
        <v>642930806</v>
      </c>
      <c r="AX47" s="60">
        <v>123140796</v>
      </c>
      <c r="AY47" s="61">
        <v>175536983</v>
      </c>
      <c r="AZ47" s="60">
        <v>0</v>
      </c>
      <c r="BA47" s="61">
        <v>822028563</v>
      </c>
      <c r="BB47" s="61">
        <v>279503680</v>
      </c>
      <c r="BC47" s="61">
        <v>251450497</v>
      </c>
      <c r="BD47" s="61">
        <v>26191222</v>
      </c>
      <c r="BE47" s="61">
        <v>11737230</v>
      </c>
      <c r="BF47" s="61">
        <v>232980028</v>
      </c>
      <c r="BG47" s="60">
        <v>20165905</v>
      </c>
      <c r="BH47" s="61">
        <v>1126107519</v>
      </c>
      <c r="BI47" s="60">
        <v>292987942</v>
      </c>
      <c r="BJ47" s="61">
        <v>84268912</v>
      </c>
      <c r="BK47" s="61">
        <v>127217932</v>
      </c>
      <c r="BL47" s="61">
        <v>525124563</v>
      </c>
      <c r="BM47" s="61">
        <v>47172085</v>
      </c>
      <c r="BN47" s="60">
        <v>49336085</v>
      </c>
      <c r="BO47" s="60">
        <v>3675480970</v>
      </c>
      <c r="BP47" s="61">
        <v>538328169</v>
      </c>
      <c r="BQ47" s="61">
        <v>504915655</v>
      </c>
      <c r="BR47" s="60">
        <v>2118150708</v>
      </c>
      <c r="BS47" s="60">
        <v>514086438</v>
      </c>
      <c r="BT47" s="61">
        <v>338719718</v>
      </c>
      <c r="BU47" s="61">
        <v>208203571</v>
      </c>
      <c r="BV47" s="61">
        <v>124952517</v>
      </c>
      <c r="BW47" s="60">
        <v>5563629</v>
      </c>
      <c r="BX47" s="61">
        <v>1050083307</v>
      </c>
      <c r="BY47" s="61">
        <v>1027863905</v>
      </c>
      <c r="BZ47" s="60">
        <v>497308276</v>
      </c>
      <c r="CA47" s="61">
        <v>434334190</v>
      </c>
      <c r="CB47" s="60">
        <v>62974086</v>
      </c>
      <c r="CC47" s="60">
        <v>47731438</v>
      </c>
      <c r="CD47" s="61">
        <v>643838338</v>
      </c>
      <c r="CE47" s="61">
        <v>405428560</v>
      </c>
      <c r="CF47" s="61">
        <v>100318850</v>
      </c>
      <c r="CG47" s="61">
        <v>138090929</v>
      </c>
      <c r="CH47" s="61">
        <v>104316433</v>
      </c>
      <c r="CI47" s="60">
        <v>51421587</v>
      </c>
      <c r="CJ47" s="60">
        <v>52894846</v>
      </c>
      <c r="CK47" s="61">
        <v>468855843</v>
      </c>
      <c r="CL47" s="61">
        <v>110539839</v>
      </c>
      <c r="CM47" s="61">
        <v>358316004</v>
      </c>
      <c r="CN47" s="61">
        <v>204258570</v>
      </c>
      <c r="CO47" s="61">
        <v>113252550</v>
      </c>
      <c r="CP47" s="61">
        <v>76077966</v>
      </c>
      <c r="CQ47" s="61">
        <v>14928054</v>
      </c>
      <c r="CR47" s="60">
        <v>174345</v>
      </c>
    </row>
    <row r="48" spans="1:96" s="69" customFormat="1" ht="10.199999999999999" x14ac:dyDescent="0.2">
      <c r="A48" s="65" t="s">
        <v>225</v>
      </c>
      <c r="B48" s="66">
        <v>24718121658</v>
      </c>
      <c r="C48" s="66">
        <v>150273205</v>
      </c>
      <c r="D48" s="66">
        <v>108809500</v>
      </c>
      <c r="E48" s="66">
        <v>13125485</v>
      </c>
      <c r="F48" s="66">
        <v>28338219</v>
      </c>
      <c r="G48" s="66">
        <v>421289006</v>
      </c>
      <c r="H48" s="67">
        <v>737749331</v>
      </c>
      <c r="I48" s="66">
        <v>1458878242</v>
      </c>
      <c r="J48" s="67">
        <v>578631972</v>
      </c>
      <c r="K48" s="66">
        <v>251739808</v>
      </c>
      <c r="L48" s="66">
        <v>628506463</v>
      </c>
      <c r="M48" s="66">
        <v>7555233726</v>
      </c>
      <c r="N48" s="66">
        <v>558781454</v>
      </c>
      <c r="O48" s="67">
        <v>145847705</v>
      </c>
      <c r="P48" s="66">
        <v>36358593</v>
      </c>
      <c r="Q48" s="67">
        <v>56880535</v>
      </c>
      <c r="R48" s="67">
        <v>8311846</v>
      </c>
      <c r="S48" s="66">
        <v>66253147</v>
      </c>
      <c r="T48" s="66">
        <v>189534516</v>
      </c>
      <c r="U48" s="66">
        <v>87977121</v>
      </c>
      <c r="V48" s="66">
        <v>2239849924</v>
      </c>
      <c r="W48" s="66">
        <v>795909336</v>
      </c>
      <c r="X48" s="67">
        <v>171410062</v>
      </c>
      <c r="Y48" s="67">
        <v>115089084</v>
      </c>
      <c r="Z48" s="67">
        <v>302877203</v>
      </c>
      <c r="AA48" s="66">
        <v>328720668</v>
      </c>
      <c r="AB48" s="66">
        <v>400317435</v>
      </c>
      <c r="AC48" s="66">
        <v>653837958</v>
      </c>
      <c r="AD48" s="66">
        <v>263504199</v>
      </c>
      <c r="AE48" s="66">
        <v>825250807</v>
      </c>
      <c r="AF48" s="67">
        <v>63053477</v>
      </c>
      <c r="AG48" s="67">
        <v>245468656</v>
      </c>
      <c r="AH48" s="67">
        <v>7342883560</v>
      </c>
      <c r="AI48" s="66">
        <v>3881119943</v>
      </c>
      <c r="AJ48" s="66">
        <v>1720006958</v>
      </c>
      <c r="AK48" s="66">
        <v>2154938230</v>
      </c>
      <c r="AL48" s="66">
        <v>6174754</v>
      </c>
      <c r="AM48" s="66">
        <v>3461763618</v>
      </c>
      <c r="AN48" s="66">
        <v>700655167</v>
      </c>
      <c r="AO48" s="67">
        <v>85765542</v>
      </c>
      <c r="AP48" s="66">
        <v>117970225</v>
      </c>
      <c r="AQ48" s="67">
        <v>231462512</v>
      </c>
      <c r="AR48" s="66">
        <v>515101735</v>
      </c>
      <c r="AS48" s="66">
        <v>305557878</v>
      </c>
      <c r="AT48" s="66">
        <v>338307916</v>
      </c>
      <c r="AU48" s="66">
        <v>183701991</v>
      </c>
      <c r="AV48" s="66">
        <v>82488720</v>
      </c>
      <c r="AW48" s="66">
        <v>612097868</v>
      </c>
      <c r="AX48" s="67">
        <v>120633347</v>
      </c>
      <c r="AY48" s="66">
        <v>168020717</v>
      </c>
      <c r="AZ48" s="67">
        <v>0</v>
      </c>
      <c r="BA48" s="66">
        <v>794777500</v>
      </c>
      <c r="BB48" s="66">
        <v>267308397</v>
      </c>
      <c r="BC48" s="66">
        <v>244875900</v>
      </c>
      <c r="BD48" s="66">
        <v>25437117</v>
      </c>
      <c r="BE48" s="66">
        <v>11366007</v>
      </c>
      <c r="BF48" s="66">
        <v>226279675</v>
      </c>
      <c r="BG48" s="67">
        <v>19510404</v>
      </c>
      <c r="BH48" s="66">
        <v>975088046</v>
      </c>
      <c r="BI48" s="67">
        <v>244034730</v>
      </c>
      <c r="BJ48" s="66">
        <v>74855064</v>
      </c>
      <c r="BK48" s="66">
        <v>113498968</v>
      </c>
      <c r="BL48" s="66">
        <v>459119836</v>
      </c>
      <c r="BM48" s="66">
        <v>40235055</v>
      </c>
      <c r="BN48" s="67">
        <v>43344393</v>
      </c>
      <c r="BO48" s="67">
        <v>1980500244</v>
      </c>
      <c r="BP48" s="66">
        <v>136851939</v>
      </c>
      <c r="BQ48" s="66">
        <v>204618356</v>
      </c>
      <c r="BR48" s="67">
        <v>1637389529</v>
      </c>
      <c r="BS48" s="67">
        <v>1640420</v>
      </c>
      <c r="BT48" s="66">
        <v>235041728</v>
      </c>
      <c r="BU48" s="66">
        <v>121417135</v>
      </c>
      <c r="BV48" s="66">
        <v>110759996</v>
      </c>
      <c r="BW48" s="67">
        <v>2864597</v>
      </c>
      <c r="BX48" s="66">
        <v>1013061955</v>
      </c>
      <c r="BY48" s="66">
        <v>174601466</v>
      </c>
      <c r="BZ48" s="67">
        <v>485163724</v>
      </c>
      <c r="CA48" s="66">
        <v>423514275</v>
      </c>
      <c r="CB48" s="67">
        <v>61649449</v>
      </c>
      <c r="CC48" s="67">
        <v>46497719</v>
      </c>
      <c r="CD48" s="66">
        <v>619242822</v>
      </c>
      <c r="CE48" s="66">
        <v>393306102</v>
      </c>
      <c r="CF48" s="66">
        <v>98109640</v>
      </c>
      <c r="CG48" s="66">
        <v>127827080</v>
      </c>
      <c r="CH48" s="66">
        <v>96184302</v>
      </c>
      <c r="CI48" s="67">
        <v>48214306</v>
      </c>
      <c r="CJ48" s="67">
        <v>47969997</v>
      </c>
      <c r="CK48" s="66">
        <v>433983446</v>
      </c>
      <c r="CL48" s="66">
        <v>93274449</v>
      </c>
      <c r="CM48" s="66">
        <v>340708996</v>
      </c>
      <c r="CN48" s="66">
        <v>197512596</v>
      </c>
      <c r="CO48" s="66">
        <v>111919439</v>
      </c>
      <c r="CP48" s="66">
        <v>73580812</v>
      </c>
      <c r="CQ48" s="66">
        <v>12012345</v>
      </c>
      <c r="CR48" s="68">
        <v>159041</v>
      </c>
    </row>
    <row r="49" spans="1:96" s="69" customFormat="1" ht="10.199999999999999" x14ac:dyDescent="0.2">
      <c r="A49" s="65" t="s">
        <v>226</v>
      </c>
      <c r="B49" s="66">
        <v>2108790412</v>
      </c>
      <c r="C49" s="66">
        <v>571796</v>
      </c>
      <c r="D49" s="66">
        <v>312827</v>
      </c>
      <c r="E49" s="66">
        <v>228209</v>
      </c>
      <c r="F49" s="66">
        <v>30760</v>
      </c>
      <c r="G49" s="66">
        <v>4891102</v>
      </c>
      <c r="H49" s="67">
        <v>7693209</v>
      </c>
      <c r="I49" s="66">
        <v>2254021</v>
      </c>
      <c r="J49" s="67">
        <v>1321616</v>
      </c>
      <c r="K49" s="66">
        <v>570470</v>
      </c>
      <c r="L49" s="66">
        <v>361934</v>
      </c>
      <c r="M49" s="66">
        <v>175288505</v>
      </c>
      <c r="N49" s="66">
        <v>3477013</v>
      </c>
      <c r="O49" s="67">
        <v>1057638</v>
      </c>
      <c r="P49" s="66">
        <v>108252</v>
      </c>
      <c r="Q49" s="67">
        <v>172776</v>
      </c>
      <c r="R49" s="67">
        <v>32072</v>
      </c>
      <c r="S49" s="66">
        <v>160554</v>
      </c>
      <c r="T49" s="66">
        <v>2417174</v>
      </c>
      <c r="U49" s="66">
        <v>251180</v>
      </c>
      <c r="V49" s="66">
        <v>16776952</v>
      </c>
      <c r="W49" s="66">
        <v>13155145</v>
      </c>
      <c r="X49" s="67">
        <v>732795</v>
      </c>
      <c r="Y49" s="67">
        <v>929282</v>
      </c>
      <c r="Z49" s="67">
        <v>2441627</v>
      </c>
      <c r="AA49" s="66">
        <v>1973384</v>
      </c>
      <c r="AB49" s="66">
        <v>6273216</v>
      </c>
      <c r="AC49" s="66">
        <v>8244088</v>
      </c>
      <c r="AD49" s="66">
        <v>83161038</v>
      </c>
      <c r="AE49" s="66">
        <v>29439444</v>
      </c>
      <c r="AF49" s="67">
        <v>90357</v>
      </c>
      <c r="AG49" s="67">
        <v>4394516</v>
      </c>
      <c r="AH49" s="67">
        <v>23394924</v>
      </c>
      <c r="AI49" s="66">
        <v>13749066</v>
      </c>
      <c r="AJ49" s="66">
        <v>5990081</v>
      </c>
      <c r="AK49" s="66">
        <v>7739660</v>
      </c>
      <c r="AL49" s="66">
        <v>19325</v>
      </c>
      <c r="AM49" s="66">
        <v>9645858</v>
      </c>
      <c r="AN49" s="66">
        <v>1064478</v>
      </c>
      <c r="AO49" s="67">
        <v>270572</v>
      </c>
      <c r="AP49" s="66">
        <v>346888</v>
      </c>
      <c r="AQ49" s="67">
        <v>536587</v>
      </c>
      <c r="AR49" s="66">
        <v>738639</v>
      </c>
      <c r="AS49" s="66">
        <v>249410</v>
      </c>
      <c r="AT49" s="66">
        <v>68715</v>
      </c>
      <c r="AU49" s="66">
        <v>731645</v>
      </c>
      <c r="AV49" s="66">
        <v>551856</v>
      </c>
      <c r="AW49" s="66">
        <v>3083194</v>
      </c>
      <c r="AX49" s="67">
        <v>590502</v>
      </c>
      <c r="AY49" s="66">
        <v>1413372</v>
      </c>
      <c r="AZ49" s="67">
        <v>0</v>
      </c>
      <c r="BA49" s="66">
        <v>4029117</v>
      </c>
      <c r="BB49" s="66">
        <v>2308779</v>
      </c>
      <c r="BC49" s="66">
        <v>458116</v>
      </c>
      <c r="BD49" s="66">
        <v>79891</v>
      </c>
      <c r="BE49" s="66">
        <v>54110</v>
      </c>
      <c r="BF49" s="66">
        <v>1058416</v>
      </c>
      <c r="BG49" s="67">
        <v>69805</v>
      </c>
      <c r="BH49" s="66">
        <v>25024589</v>
      </c>
      <c r="BI49" s="67">
        <v>3626572</v>
      </c>
      <c r="BJ49" s="66">
        <v>994909</v>
      </c>
      <c r="BK49" s="66">
        <v>2880680</v>
      </c>
      <c r="BL49" s="66">
        <v>16211598</v>
      </c>
      <c r="BM49" s="66">
        <v>925874</v>
      </c>
      <c r="BN49" s="67">
        <v>384956</v>
      </c>
      <c r="BO49" s="67">
        <v>1175661140</v>
      </c>
      <c r="BP49" s="66">
        <v>382777695</v>
      </c>
      <c r="BQ49" s="66">
        <v>290659485</v>
      </c>
      <c r="BR49" s="67">
        <v>238645568</v>
      </c>
      <c r="BS49" s="67">
        <v>263578393</v>
      </c>
      <c r="BT49" s="66">
        <v>9838185</v>
      </c>
      <c r="BU49" s="66">
        <v>7473659</v>
      </c>
      <c r="BV49" s="66">
        <v>2137368</v>
      </c>
      <c r="BW49" s="67">
        <v>227159</v>
      </c>
      <c r="BX49" s="66">
        <v>6306876</v>
      </c>
      <c r="BY49" s="66">
        <v>666020680</v>
      </c>
      <c r="BZ49" s="67">
        <v>1406808</v>
      </c>
      <c r="CA49" s="66">
        <v>1236580</v>
      </c>
      <c r="CB49" s="67">
        <v>170228</v>
      </c>
      <c r="CC49" s="67">
        <v>280531</v>
      </c>
      <c r="CD49" s="66">
        <v>1739038</v>
      </c>
      <c r="CE49" s="66">
        <v>493142</v>
      </c>
      <c r="CF49" s="66">
        <v>198115</v>
      </c>
      <c r="CG49" s="66">
        <v>1047782</v>
      </c>
      <c r="CH49" s="66">
        <v>761406</v>
      </c>
      <c r="CI49" s="67">
        <v>242801</v>
      </c>
      <c r="CJ49" s="67">
        <v>518604</v>
      </c>
      <c r="CK49" s="66">
        <v>3077478</v>
      </c>
      <c r="CL49" s="66">
        <v>2121294</v>
      </c>
      <c r="CM49" s="66">
        <v>956184</v>
      </c>
      <c r="CN49" s="66">
        <v>549272</v>
      </c>
      <c r="CO49" s="66">
        <v>145358</v>
      </c>
      <c r="CP49" s="66">
        <v>139545</v>
      </c>
      <c r="CQ49" s="66">
        <v>264369</v>
      </c>
      <c r="CR49" s="68">
        <v>1735</v>
      </c>
    </row>
    <row r="50" spans="1:96" s="69" customFormat="1" ht="10.199999999999999" x14ac:dyDescent="0.2">
      <c r="A50" s="65" t="s">
        <v>307</v>
      </c>
      <c r="B50" s="66">
        <v>70487764</v>
      </c>
      <c r="C50" s="66">
        <v>64907</v>
      </c>
      <c r="D50" s="66">
        <v>56800</v>
      </c>
      <c r="E50" s="66">
        <v>2285</v>
      </c>
      <c r="F50" s="66">
        <v>5822</v>
      </c>
      <c r="G50" s="66">
        <v>82393</v>
      </c>
      <c r="H50" s="67">
        <v>152084</v>
      </c>
      <c r="I50" s="66">
        <v>218887</v>
      </c>
      <c r="J50" s="67">
        <v>107432</v>
      </c>
      <c r="K50" s="66">
        <v>69764</v>
      </c>
      <c r="L50" s="66">
        <v>41691</v>
      </c>
      <c r="M50" s="66">
        <v>1474661</v>
      </c>
      <c r="N50" s="66">
        <v>53350</v>
      </c>
      <c r="O50" s="67">
        <v>8391</v>
      </c>
      <c r="P50" s="66">
        <v>17185</v>
      </c>
      <c r="Q50" s="67">
        <v>7107</v>
      </c>
      <c r="R50" s="68">
        <v>1617</v>
      </c>
      <c r="S50" s="66">
        <v>8761</v>
      </c>
      <c r="T50" s="66">
        <v>15775</v>
      </c>
      <c r="U50" s="66">
        <v>9858</v>
      </c>
      <c r="V50" s="66">
        <v>111839</v>
      </c>
      <c r="W50" s="66">
        <v>210610</v>
      </c>
      <c r="X50" s="67">
        <v>29551</v>
      </c>
      <c r="Y50" s="67">
        <v>14293</v>
      </c>
      <c r="Z50" s="67">
        <v>31859</v>
      </c>
      <c r="AA50" s="66">
        <v>54427</v>
      </c>
      <c r="AB50" s="66">
        <v>115725</v>
      </c>
      <c r="AC50" s="66">
        <v>436511</v>
      </c>
      <c r="AD50" s="66">
        <v>139397</v>
      </c>
      <c r="AE50" s="66">
        <v>104829</v>
      </c>
      <c r="AF50" s="67">
        <v>28001</v>
      </c>
      <c r="AG50" s="67">
        <v>75577</v>
      </c>
      <c r="AH50" s="67">
        <v>724030</v>
      </c>
      <c r="AI50" s="66">
        <v>384257</v>
      </c>
      <c r="AJ50" s="66">
        <v>111624</v>
      </c>
      <c r="AK50" s="66">
        <v>272094</v>
      </c>
      <c r="AL50" s="70">
        <v>538</v>
      </c>
      <c r="AM50" s="66">
        <v>339773</v>
      </c>
      <c r="AN50" s="66">
        <v>13202</v>
      </c>
      <c r="AO50" s="67">
        <v>15674</v>
      </c>
      <c r="AP50" s="66">
        <v>41389</v>
      </c>
      <c r="AQ50" s="67">
        <v>41599</v>
      </c>
      <c r="AR50" s="66">
        <v>44600</v>
      </c>
      <c r="AS50" s="66">
        <v>5915</v>
      </c>
      <c r="AT50" s="66">
        <v>28465</v>
      </c>
      <c r="AU50" s="66">
        <v>77149</v>
      </c>
      <c r="AV50" s="66">
        <v>7343</v>
      </c>
      <c r="AW50" s="66">
        <v>47007</v>
      </c>
      <c r="AX50" s="67">
        <v>4707</v>
      </c>
      <c r="AY50" s="66">
        <v>12723</v>
      </c>
      <c r="AZ50" s="67">
        <v>0</v>
      </c>
      <c r="BA50" s="66">
        <v>110421</v>
      </c>
      <c r="BB50" s="66">
        <v>37052</v>
      </c>
      <c r="BC50" s="66">
        <v>32241</v>
      </c>
      <c r="BD50" s="70">
        <v>1285</v>
      </c>
      <c r="BE50" s="70">
        <v>375</v>
      </c>
      <c r="BF50" s="66">
        <v>36196</v>
      </c>
      <c r="BG50" s="67">
        <v>3271</v>
      </c>
      <c r="BH50" s="66">
        <v>522487</v>
      </c>
      <c r="BI50" s="67">
        <v>161910</v>
      </c>
      <c r="BJ50" s="66">
        <v>31708</v>
      </c>
      <c r="BK50" s="66">
        <v>41251</v>
      </c>
      <c r="BL50" s="66">
        <v>110928</v>
      </c>
      <c r="BM50" s="66">
        <v>20600</v>
      </c>
      <c r="BN50" s="67">
        <v>156090</v>
      </c>
      <c r="BO50" s="67">
        <v>56366445</v>
      </c>
      <c r="BP50" s="66">
        <v>3245988</v>
      </c>
      <c r="BQ50" s="66">
        <v>1478731</v>
      </c>
      <c r="BR50" s="67">
        <v>17072092</v>
      </c>
      <c r="BS50" s="67">
        <v>34569634</v>
      </c>
      <c r="BT50" s="66">
        <v>333547</v>
      </c>
      <c r="BU50" s="66">
        <v>282945</v>
      </c>
      <c r="BV50" s="66">
        <v>31885</v>
      </c>
      <c r="BW50" s="67">
        <v>18718</v>
      </c>
      <c r="BX50" s="66">
        <v>286171</v>
      </c>
      <c r="BY50" s="66">
        <v>9803717</v>
      </c>
      <c r="BZ50" s="67">
        <v>74328</v>
      </c>
      <c r="CA50" s="66">
        <v>68687</v>
      </c>
      <c r="CB50" s="67">
        <v>5641</v>
      </c>
      <c r="CC50" s="67">
        <v>41152</v>
      </c>
      <c r="CD50" s="66">
        <v>130187</v>
      </c>
      <c r="CE50" s="66">
        <v>45370</v>
      </c>
      <c r="CF50" s="66">
        <v>10604</v>
      </c>
      <c r="CG50" s="66">
        <v>74213</v>
      </c>
      <c r="CH50" s="66">
        <v>31997</v>
      </c>
      <c r="CI50" s="67">
        <v>23260</v>
      </c>
      <c r="CJ50" s="67">
        <v>8737</v>
      </c>
      <c r="CK50" s="66">
        <v>25990</v>
      </c>
      <c r="CL50" s="66">
        <v>11538</v>
      </c>
      <c r="CM50" s="66">
        <v>14452</v>
      </c>
      <c r="CN50" s="66">
        <v>44121</v>
      </c>
      <c r="CO50" s="66">
        <v>21983</v>
      </c>
      <c r="CP50" s="66">
        <v>18032</v>
      </c>
      <c r="CQ50" s="66">
        <v>4106</v>
      </c>
      <c r="CR50" s="68">
        <v>239</v>
      </c>
    </row>
    <row r="51" spans="1:96" s="69" customFormat="1" ht="10.199999999999999" x14ac:dyDescent="0.2">
      <c r="A51" s="65" t="s">
        <v>227</v>
      </c>
      <c r="B51" s="66">
        <v>145172538</v>
      </c>
      <c r="C51" s="66">
        <v>1029323</v>
      </c>
      <c r="D51" s="66">
        <v>941914</v>
      </c>
      <c r="E51" s="66">
        <v>52695</v>
      </c>
      <c r="F51" s="66">
        <v>34713</v>
      </c>
      <c r="G51" s="66">
        <v>1329821</v>
      </c>
      <c r="H51" s="67">
        <v>2373891</v>
      </c>
      <c r="I51" s="66">
        <v>1248028</v>
      </c>
      <c r="J51" s="67">
        <v>529034</v>
      </c>
      <c r="K51" s="66">
        <v>548865</v>
      </c>
      <c r="L51" s="66">
        <v>170129</v>
      </c>
      <c r="M51" s="66">
        <v>30682820</v>
      </c>
      <c r="N51" s="66">
        <v>415396</v>
      </c>
      <c r="O51" s="67">
        <v>1574279</v>
      </c>
      <c r="P51" s="66">
        <v>14020</v>
      </c>
      <c r="Q51" s="67">
        <v>26717</v>
      </c>
      <c r="R51" s="68">
        <v>513</v>
      </c>
      <c r="S51" s="66">
        <v>26185</v>
      </c>
      <c r="T51" s="66">
        <v>51637</v>
      </c>
      <c r="U51" s="66">
        <v>31385</v>
      </c>
      <c r="V51" s="66">
        <v>1411432</v>
      </c>
      <c r="W51" s="66">
        <v>769245</v>
      </c>
      <c r="X51" s="67">
        <v>52036</v>
      </c>
      <c r="Y51" s="67">
        <v>222384</v>
      </c>
      <c r="Z51" s="67">
        <v>109061</v>
      </c>
      <c r="AA51" s="66">
        <v>123756</v>
      </c>
      <c r="AB51" s="66">
        <v>1758285</v>
      </c>
      <c r="AC51" s="66">
        <v>1637562</v>
      </c>
      <c r="AD51" s="66">
        <v>12770817</v>
      </c>
      <c r="AE51" s="66">
        <v>8821242</v>
      </c>
      <c r="AF51" s="67">
        <v>37332</v>
      </c>
      <c r="AG51" s="67">
        <v>829538</v>
      </c>
      <c r="AH51" s="67">
        <v>7520668</v>
      </c>
      <c r="AI51" s="66">
        <v>4035246</v>
      </c>
      <c r="AJ51" s="66">
        <v>1697874</v>
      </c>
      <c r="AK51" s="66">
        <v>2334495</v>
      </c>
      <c r="AL51" s="66">
        <v>2876</v>
      </c>
      <c r="AM51" s="66">
        <v>3485422</v>
      </c>
      <c r="AN51" s="66">
        <v>404478</v>
      </c>
      <c r="AO51" s="67">
        <v>29518</v>
      </c>
      <c r="AP51" s="66">
        <v>58759</v>
      </c>
      <c r="AQ51" s="67">
        <v>455685</v>
      </c>
      <c r="AR51" s="66">
        <v>654714</v>
      </c>
      <c r="AS51" s="66">
        <v>144571</v>
      </c>
      <c r="AT51" s="66">
        <v>117750</v>
      </c>
      <c r="AU51" s="66">
        <v>157110</v>
      </c>
      <c r="AV51" s="66">
        <v>398847</v>
      </c>
      <c r="AW51" s="66">
        <v>895579</v>
      </c>
      <c r="AX51" s="67">
        <v>65598</v>
      </c>
      <c r="AY51" s="66">
        <v>102812</v>
      </c>
      <c r="AZ51" s="67">
        <v>0</v>
      </c>
      <c r="BA51" s="66">
        <v>1449365</v>
      </c>
      <c r="BB51" s="66">
        <v>927931</v>
      </c>
      <c r="BC51" s="66">
        <v>227491</v>
      </c>
      <c r="BD51" s="66">
        <v>36016</v>
      </c>
      <c r="BE51" s="66">
        <v>6483</v>
      </c>
      <c r="BF51" s="66">
        <v>221829</v>
      </c>
      <c r="BG51" s="67">
        <v>29616</v>
      </c>
      <c r="BH51" s="66">
        <v>11434589</v>
      </c>
      <c r="BI51" s="67">
        <v>499966</v>
      </c>
      <c r="BJ51" s="66">
        <v>241104</v>
      </c>
      <c r="BK51" s="66">
        <v>327949</v>
      </c>
      <c r="BL51" s="66">
        <v>10180097</v>
      </c>
      <c r="BM51" s="66">
        <v>160575</v>
      </c>
      <c r="BN51" s="67">
        <v>24898</v>
      </c>
      <c r="BO51" s="67">
        <v>15381255</v>
      </c>
      <c r="BP51" s="66">
        <v>1066846</v>
      </c>
      <c r="BQ51" s="66">
        <v>1168403</v>
      </c>
      <c r="BR51" s="67">
        <v>10159257</v>
      </c>
      <c r="BS51" s="67">
        <v>2986748</v>
      </c>
      <c r="BT51" s="66">
        <v>49578734</v>
      </c>
      <c r="BU51" s="66">
        <v>47354478</v>
      </c>
      <c r="BV51" s="66">
        <v>2218260</v>
      </c>
      <c r="BW51" s="68">
        <v>5997</v>
      </c>
      <c r="BX51" s="66">
        <v>647885</v>
      </c>
      <c r="BY51" s="66">
        <v>19676515</v>
      </c>
      <c r="BZ51" s="67">
        <v>181879</v>
      </c>
      <c r="CA51" s="66">
        <v>156251</v>
      </c>
      <c r="CB51" s="67">
        <v>25627</v>
      </c>
      <c r="CC51" s="67">
        <v>26815</v>
      </c>
      <c r="CD51" s="66">
        <v>717779</v>
      </c>
      <c r="CE51" s="66">
        <v>181774</v>
      </c>
      <c r="CF51" s="66">
        <v>26697</v>
      </c>
      <c r="CG51" s="66">
        <v>509308</v>
      </c>
      <c r="CH51" s="66">
        <v>283585</v>
      </c>
      <c r="CI51" s="67">
        <v>118504</v>
      </c>
      <c r="CJ51" s="67">
        <v>165081</v>
      </c>
      <c r="CK51" s="66">
        <v>1462486</v>
      </c>
      <c r="CL51" s="66">
        <v>813006</v>
      </c>
      <c r="CM51" s="66">
        <v>649479</v>
      </c>
      <c r="CN51" s="66">
        <v>147101</v>
      </c>
      <c r="CO51" s="66">
        <v>37608</v>
      </c>
      <c r="CP51" s="66">
        <v>63581</v>
      </c>
      <c r="CQ51" s="66">
        <v>45912</v>
      </c>
      <c r="CR51" s="67">
        <v>0</v>
      </c>
    </row>
    <row r="52" spans="1:96" s="69" customFormat="1" ht="10.199999999999999" x14ac:dyDescent="0.2">
      <c r="A52" s="65" t="s">
        <v>228</v>
      </c>
      <c r="B52" s="66">
        <v>171746355</v>
      </c>
      <c r="C52" s="66">
        <v>198547</v>
      </c>
      <c r="D52" s="66">
        <v>152260</v>
      </c>
      <c r="E52" s="70">
        <v>21126</v>
      </c>
      <c r="F52" s="70">
        <v>25161</v>
      </c>
      <c r="G52" s="66">
        <v>2171783</v>
      </c>
      <c r="H52" s="67">
        <v>462755</v>
      </c>
      <c r="I52" s="66">
        <v>193510</v>
      </c>
      <c r="J52" s="67">
        <v>34442</v>
      </c>
      <c r="K52" s="66">
        <v>109366</v>
      </c>
      <c r="L52" s="66">
        <v>49702</v>
      </c>
      <c r="M52" s="66">
        <v>102664148</v>
      </c>
      <c r="N52" s="66">
        <v>2152092</v>
      </c>
      <c r="O52" s="67">
        <v>2877133</v>
      </c>
      <c r="P52" s="66">
        <v>86110</v>
      </c>
      <c r="Q52" s="67">
        <v>864611</v>
      </c>
      <c r="R52" s="67">
        <v>168539</v>
      </c>
      <c r="S52" s="66">
        <v>22480</v>
      </c>
      <c r="T52" s="66">
        <v>1795199</v>
      </c>
      <c r="U52" s="66">
        <v>94672</v>
      </c>
      <c r="V52" s="66">
        <v>1249436</v>
      </c>
      <c r="W52" s="66">
        <v>34491130</v>
      </c>
      <c r="X52" s="67">
        <v>692197</v>
      </c>
      <c r="Y52" s="67">
        <v>245659</v>
      </c>
      <c r="Z52" s="67">
        <v>599290</v>
      </c>
      <c r="AA52" s="66">
        <v>872411</v>
      </c>
      <c r="AB52" s="66">
        <v>3581616</v>
      </c>
      <c r="AC52" s="66">
        <v>35803361</v>
      </c>
      <c r="AD52" s="66">
        <v>2632919</v>
      </c>
      <c r="AE52" s="66">
        <v>9965285</v>
      </c>
      <c r="AF52" s="67">
        <v>61899</v>
      </c>
      <c r="AG52" s="67">
        <v>4408107</v>
      </c>
      <c r="AH52" s="67">
        <v>13243176</v>
      </c>
      <c r="AI52" s="66">
        <v>7115074</v>
      </c>
      <c r="AJ52" s="66">
        <v>2063301</v>
      </c>
      <c r="AK52" s="66">
        <v>5051448</v>
      </c>
      <c r="AL52" s="66">
        <v>326</v>
      </c>
      <c r="AM52" s="66">
        <v>6128102</v>
      </c>
      <c r="AN52" s="66">
        <v>171077</v>
      </c>
      <c r="AO52" s="67">
        <v>12306</v>
      </c>
      <c r="AP52" s="70">
        <v>56814</v>
      </c>
      <c r="AQ52" s="68">
        <v>232271</v>
      </c>
      <c r="AR52" s="66">
        <v>1682548</v>
      </c>
      <c r="AS52" s="70">
        <v>75034</v>
      </c>
      <c r="AT52" s="70">
        <v>20673</v>
      </c>
      <c r="AU52" s="66">
        <v>819181</v>
      </c>
      <c r="AV52" s="66">
        <v>180899</v>
      </c>
      <c r="AW52" s="66">
        <v>1805819</v>
      </c>
      <c r="AX52" s="67">
        <v>374475</v>
      </c>
      <c r="AY52" s="66">
        <v>697005</v>
      </c>
      <c r="AZ52" s="67">
        <v>0</v>
      </c>
      <c r="BA52" s="66">
        <v>1984716</v>
      </c>
      <c r="BB52" s="66">
        <v>54401</v>
      </c>
      <c r="BC52" s="66">
        <v>90296</v>
      </c>
      <c r="BD52" s="66">
        <v>0</v>
      </c>
      <c r="BE52" s="70">
        <v>778</v>
      </c>
      <c r="BF52" s="70">
        <v>1810146</v>
      </c>
      <c r="BG52" s="67">
        <v>29094</v>
      </c>
      <c r="BH52" s="66">
        <v>32651372</v>
      </c>
      <c r="BI52" s="67">
        <v>9806153</v>
      </c>
      <c r="BJ52" s="66">
        <v>3207648</v>
      </c>
      <c r="BK52" s="66">
        <v>5196869</v>
      </c>
      <c r="BL52" s="66">
        <v>11726110</v>
      </c>
      <c r="BM52" s="66">
        <v>1449266</v>
      </c>
      <c r="BN52" s="67">
        <v>1265326</v>
      </c>
      <c r="BO52" s="67">
        <v>1395175</v>
      </c>
      <c r="BP52" s="66">
        <v>653610</v>
      </c>
      <c r="BQ52" s="66">
        <v>336813</v>
      </c>
      <c r="BR52" s="67">
        <v>396324</v>
      </c>
      <c r="BS52" s="67">
        <v>8429</v>
      </c>
      <c r="BT52" s="66">
        <v>3500018</v>
      </c>
      <c r="BU52" s="66">
        <v>1178795</v>
      </c>
      <c r="BV52" s="66">
        <v>353720</v>
      </c>
      <c r="BW52" s="67">
        <v>1967503</v>
      </c>
      <c r="BX52" s="66">
        <v>4383346</v>
      </c>
      <c r="BY52" s="66">
        <v>450472</v>
      </c>
      <c r="BZ52" s="67">
        <v>650867</v>
      </c>
      <c r="CA52" s="66">
        <v>637998</v>
      </c>
      <c r="CB52" s="67">
        <v>12869</v>
      </c>
      <c r="CC52" s="67">
        <v>99245</v>
      </c>
      <c r="CD52" s="66">
        <v>86160</v>
      </c>
      <c r="CE52" s="70">
        <v>11014</v>
      </c>
      <c r="CF52" s="66">
        <v>75144</v>
      </c>
      <c r="CG52" s="66">
        <v>3</v>
      </c>
      <c r="CH52" s="66">
        <v>371011</v>
      </c>
      <c r="CI52" s="67">
        <v>128200</v>
      </c>
      <c r="CJ52" s="67">
        <v>242811</v>
      </c>
      <c r="CK52" s="66">
        <v>6928692</v>
      </c>
      <c r="CL52" s="66">
        <v>2493733</v>
      </c>
      <c r="CM52" s="66">
        <v>4434959</v>
      </c>
      <c r="CN52" s="66">
        <v>311363</v>
      </c>
      <c r="CO52" s="70">
        <v>170019</v>
      </c>
      <c r="CP52" s="66">
        <v>136559</v>
      </c>
      <c r="CQ52" s="70">
        <v>4784</v>
      </c>
      <c r="CR52" s="67">
        <v>0</v>
      </c>
    </row>
    <row r="53" spans="1:96" s="69" customFormat="1" ht="10.199999999999999" x14ac:dyDescent="0.2">
      <c r="A53" s="65" t="s">
        <v>308</v>
      </c>
      <c r="B53" s="66">
        <v>25382115</v>
      </c>
      <c r="C53" s="66">
        <v>32546</v>
      </c>
      <c r="D53" s="66">
        <v>20467</v>
      </c>
      <c r="E53" s="70">
        <v>698</v>
      </c>
      <c r="F53" s="70">
        <v>11381</v>
      </c>
      <c r="G53" s="66">
        <v>104121</v>
      </c>
      <c r="H53" s="67">
        <v>209382</v>
      </c>
      <c r="I53" s="66">
        <v>78988</v>
      </c>
      <c r="J53" s="67">
        <v>29223</v>
      </c>
      <c r="K53" s="66">
        <v>43114</v>
      </c>
      <c r="L53" s="66">
        <v>6652</v>
      </c>
      <c r="M53" s="66">
        <v>1823465</v>
      </c>
      <c r="N53" s="66">
        <v>110036</v>
      </c>
      <c r="O53" s="67">
        <v>5200</v>
      </c>
      <c r="P53" s="70">
        <v>81</v>
      </c>
      <c r="Q53" s="67">
        <v>98</v>
      </c>
      <c r="R53" s="68">
        <v>499</v>
      </c>
      <c r="S53" s="66" t="s">
        <v>287</v>
      </c>
      <c r="T53" s="66">
        <v>704</v>
      </c>
      <c r="U53" s="70">
        <v>1384</v>
      </c>
      <c r="V53" s="66">
        <v>142884</v>
      </c>
      <c r="W53" s="66">
        <v>537329</v>
      </c>
      <c r="X53" s="68">
        <v>5375</v>
      </c>
      <c r="Y53" s="68">
        <v>2399</v>
      </c>
      <c r="Z53" s="67">
        <v>16923</v>
      </c>
      <c r="AA53" s="66">
        <v>8022</v>
      </c>
      <c r="AB53" s="66">
        <v>127827</v>
      </c>
      <c r="AC53" s="66">
        <v>20164</v>
      </c>
      <c r="AD53" s="66">
        <v>769720</v>
      </c>
      <c r="AE53" s="66">
        <v>53144</v>
      </c>
      <c r="AF53" s="68">
        <v>2085</v>
      </c>
      <c r="AG53" s="67">
        <v>19592</v>
      </c>
      <c r="AH53" s="67">
        <v>915230</v>
      </c>
      <c r="AI53" s="66">
        <v>843554</v>
      </c>
      <c r="AJ53" s="66">
        <v>45999</v>
      </c>
      <c r="AK53" s="66">
        <v>797530</v>
      </c>
      <c r="AL53" s="70">
        <v>24</v>
      </c>
      <c r="AM53" s="66">
        <v>71676</v>
      </c>
      <c r="AN53" s="70">
        <v>3482</v>
      </c>
      <c r="AO53" s="67">
        <v>4</v>
      </c>
      <c r="AP53" s="70">
        <v>1609</v>
      </c>
      <c r="AQ53" s="68">
        <v>549</v>
      </c>
      <c r="AR53" s="70">
        <v>3010</v>
      </c>
      <c r="AS53" s="70">
        <v>14715</v>
      </c>
      <c r="AT53" s="70">
        <v>80</v>
      </c>
      <c r="AU53" s="70">
        <v>2262</v>
      </c>
      <c r="AV53" s="66">
        <v>22</v>
      </c>
      <c r="AW53" s="70">
        <v>154</v>
      </c>
      <c r="AX53" s="68">
        <v>7935</v>
      </c>
      <c r="AY53" s="70">
        <v>37856</v>
      </c>
      <c r="AZ53" s="67">
        <v>0</v>
      </c>
      <c r="BA53" s="66">
        <v>48509</v>
      </c>
      <c r="BB53" s="66">
        <v>11009</v>
      </c>
      <c r="BC53" s="66">
        <v>12385</v>
      </c>
      <c r="BD53" s="70">
        <v>3</v>
      </c>
      <c r="BE53" s="66">
        <v>0</v>
      </c>
      <c r="BF53" s="70">
        <v>25049</v>
      </c>
      <c r="BG53" s="68">
        <v>63</v>
      </c>
      <c r="BH53" s="66">
        <v>371867</v>
      </c>
      <c r="BI53" s="67">
        <v>155901</v>
      </c>
      <c r="BJ53" s="70">
        <v>4</v>
      </c>
      <c r="BK53" s="70">
        <v>52882</v>
      </c>
      <c r="BL53" s="66">
        <v>11676</v>
      </c>
      <c r="BM53" s="70">
        <v>4970</v>
      </c>
      <c r="BN53" s="68">
        <v>146432</v>
      </c>
      <c r="BO53" s="67">
        <v>20740223</v>
      </c>
      <c r="BP53" s="66">
        <v>87270</v>
      </c>
      <c r="BQ53" s="66">
        <v>938854</v>
      </c>
      <c r="BR53" s="67">
        <v>2334427</v>
      </c>
      <c r="BS53" s="67">
        <v>17379671</v>
      </c>
      <c r="BT53" s="66">
        <v>60667</v>
      </c>
      <c r="BU53" s="66">
        <v>59353</v>
      </c>
      <c r="BV53" s="70">
        <v>1315</v>
      </c>
      <c r="BW53" s="67">
        <v>0</v>
      </c>
      <c r="BX53" s="66">
        <v>199589</v>
      </c>
      <c r="BY53" s="66">
        <v>712892</v>
      </c>
      <c r="BZ53" s="67">
        <v>40808</v>
      </c>
      <c r="CA53" s="66">
        <v>40481</v>
      </c>
      <c r="CB53" s="70">
        <v>327</v>
      </c>
      <c r="CC53" s="67">
        <v>20</v>
      </c>
      <c r="CD53" s="66">
        <v>30907</v>
      </c>
      <c r="CE53" s="70">
        <v>2253</v>
      </c>
      <c r="CF53" s="66">
        <v>9210</v>
      </c>
      <c r="CG53" s="70">
        <v>19444</v>
      </c>
      <c r="CH53" s="70">
        <v>1321</v>
      </c>
      <c r="CI53" s="68">
        <v>1321</v>
      </c>
      <c r="CJ53" s="67">
        <v>0</v>
      </c>
      <c r="CK53" s="66">
        <v>2127</v>
      </c>
      <c r="CL53" s="70">
        <v>2052</v>
      </c>
      <c r="CM53" s="70">
        <v>75</v>
      </c>
      <c r="CN53" s="66">
        <v>9454</v>
      </c>
      <c r="CO53" s="70">
        <v>14</v>
      </c>
      <c r="CP53" s="70">
        <v>8954</v>
      </c>
      <c r="CQ53" s="70">
        <v>486</v>
      </c>
      <c r="CR53" s="67">
        <v>0</v>
      </c>
    </row>
    <row r="54" spans="1:96" s="69" customFormat="1" ht="10.199999999999999" x14ac:dyDescent="0.2">
      <c r="A54" s="65" t="s">
        <v>309</v>
      </c>
      <c r="B54" s="66">
        <v>105923560</v>
      </c>
      <c r="C54" s="66">
        <v>672570</v>
      </c>
      <c r="D54" s="66">
        <v>582903</v>
      </c>
      <c r="E54" s="66">
        <v>80142</v>
      </c>
      <c r="F54" s="66">
        <v>9524</v>
      </c>
      <c r="G54" s="66">
        <v>9486959</v>
      </c>
      <c r="H54" s="67">
        <v>6893768</v>
      </c>
      <c r="I54" s="66">
        <v>1300420</v>
      </c>
      <c r="J54" s="67">
        <v>495509</v>
      </c>
      <c r="K54" s="66">
        <v>515356</v>
      </c>
      <c r="L54" s="66">
        <v>289555</v>
      </c>
      <c r="M54" s="66">
        <v>25776004</v>
      </c>
      <c r="N54" s="66">
        <v>2086281</v>
      </c>
      <c r="O54" s="67">
        <v>938042</v>
      </c>
      <c r="P54" s="66">
        <v>46678</v>
      </c>
      <c r="Q54" s="67">
        <v>29646</v>
      </c>
      <c r="R54" s="67">
        <v>500</v>
      </c>
      <c r="S54" s="66">
        <v>226620</v>
      </c>
      <c r="T54" s="66">
        <v>1534795</v>
      </c>
      <c r="U54" s="66">
        <v>37668</v>
      </c>
      <c r="V54" s="66">
        <v>1546890</v>
      </c>
      <c r="W54" s="66">
        <v>12025258</v>
      </c>
      <c r="X54" s="67">
        <v>212184</v>
      </c>
      <c r="Y54" s="67">
        <v>182184</v>
      </c>
      <c r="Z54" s="67">
        <v>753123</v>
      </c>
      <c r="AA54" s="66">
        <v>578300</v>
      </c>
      <c r="AB54" s="66">
        <v>1074568</v>
      </c>
      <c r="AC54" s="66">
        <v>1478480</v>
      </c>
      <c r="AD54" s="66">
        <v>1038884</v>
      </c>
      <c r="AE54" s="66">
        <v>1481581</v>
      </c>
      <c r="AF54" s="67">
        <v>67134</v>
      </c>
      <c r="AG54" s="67">
        <v>437187</v>
      </c>
      <c r="AH54" s="67">
        <v>5937149</v>
      </c>
      <c r="AI54" s="66">
        <v>4599413</v>
      </c>
      <c r="AJ54" s="66">
        <v>829893</v>
      </c>
      <c r="AK54" s="66">
        <v>3755043</v>
      </c>
      <c r="AL54" s="70">
        <v>14476</v>
      </c>
      <c r="AM54" s="66">
        <v>1337737</v>
      </c>
      <c r="AN54" s="66">
        <v>323616</v>
      </c>
      <c r="AO54" s="67">
        <v>54016</v>
      </c>
      <c r="AP54" s="66">
        <v>19732</v>
      </c>
      <c r="AQ54" s="67">
        <v>77451</v>
      </c>
      <c r="AR54" s="66">
        <v>266401</v>
      </c>
      <c r="AS54" s="66">
        <v>58863</v>
      </c>
      <c r="AT54" s="66">
        <v>74798</v>
      </c>
      <c r="AU54" s="66">
        <v>144883</v>
      </c>
      <c r="AV54" s="70">
        <v>1846</v>
      </c>
      <c r="AW54" s="66">
        <v>48907</v>
      </c>
      <c r="AX54" s="67">
        <v>122252</v>
      </c>
      <c r="AY54" s="66">
        <v>144973</v>
      </c>
      <c r="AZ54" s="67">
        <v>0</v>
      </c>
      <c r="BA54" s="66">
        <v>1206801</v>
      </c>
      <c r="BB54" s="66">
        <v>939459</v>
      </c>
      <c r="BC54" s="66">
        <v>159383</v>
      </c>
      <c r="BD54" s="70">
        <v>15182</v>
      </c>
      <c r="BE54" s="70">
        <v>9731</v>
      </c>
      <c r="BF54" s="66">
        <v>76188</v>
      </c>
      <c r="BG54" s="67">
        <v>6859</v>
      </c>
      <c r="BH54" s="66">
        <v>7710225</v>
      </c>
      <c r="BI54" s="67">
        <v>2784658</v>
      </c>
      <c r="BJ54" s="66">
        <v>444602</v>
      </c>
      <c r="BK54" s="66">
        <v>543596</v>
      </c>
      <c r="BL54" s="66">
        <v>2244256</v>
      </c>
      <c r="BM54" s="66">
        <v>1021244</v>
      </c>
      <c r="BN54" s="67">
        <v>671870</v>
      </c>
      <c r="BO54" s="67">
        <v>19310328</v>
      </c>
      <c r="BP54" s="66">
        <v>1972211</v>
      </c>
      <c r="BQ54" s="66">
        <v>6278591</v>
      </c>
      <c r="BR54" s="67">
        <v>9847066</v>
      </c>
      <c r="BS54" s="67">
        <v>1212460</v>
      </c>
      <c r="BT54" s="66">
        <v>10338243</v>
      </c>
      <c r="BU54" s="66">
        <v>10123776</v>
      </c>
      <c r="BV54" s="66">
        <v>192819</v>
      </c>
      <c r="BW54" s="68">
        <v>21648</v>
      </c>
      <c r="BX54" s="66">
        <v>2294584</v>
      </c>
      <c r="BY54" s="66">
        <v>11633299</v>
      </c>
      <c r="BZ54" s="67">
        <v>391656</v>
      </c>
      <c r="CA54" s="66">
        <v>355136</v>
      </c>
      <c r="CB54" s="67">
        <v>36520</v>
      </c>
      <c r="CC54" s="67">
        <v>203746</v>
      </c>
      <c r="CD54" s="66">
        <v>823636</v>
      </c>
      <c r="CE54" s="66">
        <v>186096</v>
      </c>
      <c r="CF54" s="66">
        <v>125697</v>
      </c>
      <c r="CG54" s="66">
        <v>511843</v>
      </c>
      <c r="CH54" s="66">
        <v>394509</v>
      </c>
      <c r="CI54" s="67">
        <v>289321</v>
      </c>
      <c r="CJ54" s="67">
        <v>105188</v>
      </c>
      <c r="CK54" s="66">
        <v>1247620</v>
      </c>
      <c r="CL54" s="66">
        <v>556842</v>
      </c>
      <c r="CM54" s="66">
        <v>690778</v>
      </c>
      <c r="CN54" s="66">
        <v>291053</v>
      </c>
      <c r="CO54" s="66">
        <v>46578</v>
      </c>
      <c r="CP54" s="66">
        <v>202335</v>
      </c>
      <c r="CQ54" s="66">
        <v>42140</v>
      </c>
      <c r="CR54" s="68">
        <v>10990</v>
      </c>
    </row>
    <row r="55" spans="1:96" s="69" customFormat="1" ht="10.199999999999999" x14ac:dyDescent="0.2">
      <c r="A55" s="65" t="s">
        <v>229</v>
      </c>
      <c r="B55" s="66">
        <v>66077640</v>
      </c>
      <c r="C55" s="66">
        <v>1077506</v>
      </c>
      <c r="D55" s="66">
        <v>622947</v>
      </c>
      <c r="E55" s="66">
        <v>212075</v>
      </c>
      <c r="F55" s="66">
        <v>242484</v>
      </c>
      <c r="G55" s="66">
        <v>4355483</v>
      </c>
      <c r="H55" s="67">
        <v>2231601</v>
      </c>
      <c r="I55" s="66">
        <v>2414127</v>
      </c>
      <c r="J55" s="67">
        <v>484391</v>
      </c>
      <c r="K55" s="66">
        <v>883656</v>
      </c>
      <c r="L55" s="66">
        <v>1046081</v>
      </c>
      <c r="M55" s="66">
        <v>16236797</v>
      </c>
      <c r="N55" s="66">
        <v>353102</v>
      </c>
      <c r="O55" s="67">
        <v>420902</v>
      </c>
      <c r="P55" s="66">
        <v>67836</v>
      </c>
      <c r="Q55" s="67">
        <v>19558</v>
      </c>
      <c r="R55" s="67">
        <v>8318</v>
      </c>
      <c r="S55" s="66">
        <v>69294</v>
      </c>
      <c r="T55" s="66">
        <v>3655707</v>
      </c>
      <c r="U55" s="66">
        <v>330364</v>
      </c>
      <c r="V55" s="66">
        <v>869305</v>
      </c>
      <c r="W55" s="66">
        <v>1190498</v>
      </c>
      <c r="X55" s="67">
        <v>131462</v>
      </c>
      <c r="Y55" s="67">
        <v>372392</v>
      </c>
      <c r="Z55" s="67">
        <v>439983</v>
      </c>
      <c r="AA55" s="66">
        <v>1201219</v>
      </c>
      <c r="AB55" s="66">
        <v>553461</v>
      </c>
      <c r="AC55" s="66">
        <v>624527</v>
      </c>
      <c r="AD55" s="66">
        <v>1086559</v>
      </c>
      <c r="AE55" s="66">
        <v>4113747</v>
      </c>
      <c r="AF55" s="67">
        <v>86510</v>
      </c>
      <c r="AG55" s="67">
        <v>642052</v>
      </c>
      <c r="AH55" s="67">
        <v>4559262</v>
      </c>
      <c r="AI55" s="66">
        <v>3130149</v>
      </c>
      <c r="AJ55" s="66">
        <v>1904591</v>
      </c>
      <c r="AK55" s="66">
        <v>1225505</v>
      </c>
      <c r="AL55" s="66">
        <v>53</v>
      </c>
      <c r="AM55" s="66">
        <v>1429113</v>
      </c>
      <c r="AN55" s="66">
        <v>553118</v>
      </c>
      <c r="AO55" s="67">
        <v>72049</v>
      </c>
      <c r="AP55" s="66">
        <v>51102</v>
      </c>
      <c r="AQ55" s="67">
        <v>79853</v>
      </c>
      <c r="AR55" s="66">
        <v>290894</v>
      </c>
      <c r="AS55" s="66">
        <v>27226</v>
      </c>
      <c r="AT55" s="66">
        <v>130529</v>
      </c>
      <c r="AU55" s="66">
        <v>7770</v>
      </c>
      <c r="AV55" s="66">
        <v>62398</v>
      </c>
      <c r="AW55" s="66">
        <v>30650</v>
      </c>
      <c r="AX55" s="67">
        <v>41224</v>
      </c>
      <c r="AY55" s="66">
        <v>82300</v>
      </c>
      <c r="AZ55" s="67">
        <v>0</v>
      </c>
      <c r="BA55" s="66">
        <v>3574420</v>
      </c>
      <c r="BB55" s="66">
        <v>1998188</v>
      </c>
      <c r="BC55" s="66">
        <v>1194704</v>
      </c>
      <c r="BD55" s="66">
        <v>200294</v>
      </c>
      <c r="BE55" s="66">
        <v>1245</v>
      </c>
      <c r="BF55" s="66">
        <v>158990</v>
      </c>
      <c r="BG55" s="67">
        <v>20999</v>
      </c>
      <c r="BH55" s="66">
        <v>1278816</v>
      </c>
      <c r="BI55" s="67">
        <v>284651</v>
      </c>
      <c r="BJ55" s="66">
        <v>78317</v>
      </c>
      <c r="BK55" s="66">
        <v>328698</v>
      </c>
      <c r="BL55" s="66">
        <v>501594</v>
      </c>
      <c r="BM55" s="66">
        <v>28700</v>
      </c>
      <c r="BN55" s="67">
        <v>56856</v>
      </c>
      <c r="BO55" s="67">
        <v>10942119</v>
      </c>
      <c r="BP55" s="66">
        <v>3836843</v>
      </c>
      <c r="BQ55" s="66">
        <v>5649964</v>
      </c>
      <c r="BR55" s="67">
        <v>1075189</v>
      </c>
      <c r="BS55" s="67">
        <v>380123</v>
      </c>
      <c r="BT55" s="66">
        <v>6198980</v>
      </c>
      <c r="BU55" s="66">
        <v>2495882</v>
      </c>
      <c r="BV55" s="66">
        <v>3690587</v>
      </c>
      <c r="BW55" s="68">
        <v>12510</v>
      </c>
      <c r="BX55" s="66">
        <v>795887</v>
      </c>
      <c r="BY55" s="66">
        <v>10135229</v>
      </c>
      <c r="BZ55" s="67">
        <v>582479</v>
      </c>
      <c r="CA55" s="66">
        <v>325005</v>
      </c>
      <c r="CB55" s="67">
        <v>257474</v>
      </c>
      <c r="CC55" s="67">
        <v>5322</v>
      </c>
      <c r="CD55" s="66">
        <v>510339</v>
      </c>
      <c r="CE55" s="66">
        <v>216178</v>
      </c>
      <c r="CF55" s="66">
        <v>33580</v>
      </c>
      <c r="CG55" s="66">
        <v>260580</v>
      </c>
      <c r="CH55" s="66">
        <v>206866</v>
      </c>
      <c r="CI55" s="67">
        <v>46838</v>
      </c>
      <c r="CJ55" s="67">
        <v>160028</v>
      </c>
      <c r="CK55" s="66">
        <v>600230</v>
      </c>
      <c r="CL55" s="66">
        <v>120457</v>
      </c>
      <c r="CM55" s="66">
        <v>479772</v>
      </c>
      <c r="CN55" s="66">
        <v>369887</v>
      </c>
      <c r="CO55" s="66">
        <v>146593</v>
      </c>
      <c r="CP55" s="66">
        <v>221768</v>
      </c>
      <c r="CQ55" s="66">
        <v>1526</v>
      </c>
      <c r="CR55" s="68">
        <v>2291</v>
      </c>
    </row>
    <row r="56" spans="1:96" s="69" customFormat="1" ht="10.199999999999999" x14ac:dyDescent="0.2">
      <c r="A56" s="65" t="s">
        <v>230</v>
      </c>
      <c r="B56" s="66">
        <v>36740575</v>
      </c>
      <c r="C56" s="66">
        <v>56907</v>
      </c>
      <c r="D56" s="66">
        <v>47420</v>
      </c>
      <c r="E56" s="70">
        <v>4504</v>
      </c>
      <c r="F56" s="66">
        <v>4983</v>
      </c>
      <c r="G56" s="66">
        <v>1830643</v>
      </c>
      <c r="H56" s="67">
        <v>351296</v>
      </c>
      <c r="I56" s="66">
        <v>87421</v>
      </c>
      <c r="J56" s="67">
        <v>21713</v>
      </c>
      <c r="K56" s="66">
        <v>43579</v>
      </c>
      <c r="L56" s="66">
        <v>22129</v>
      </c>
      <c r="M56" s="66">
        <v>6934227</v>
      </c>
      <c r="N56" s="66">
        <v>136030</v>
      </c>
      <c r="O56" s="67">
        <v>594553</v>
      </c>
      <c r="P56" s="66">
        <v>975</v>
      </c>
      <c r="Q56" s="67">
        <v>4197</v>
      </c>
      <c r="R56" s="67">
        <v>1075</v>
      </c>
      <c r="S56" s="66">
        <v>2310</v>
      </c>
      <c r="T56" s="66">
        <v>3456139</v>
      </c>
      <c r="U56" s="66">
        <v>7919</v>
      </c>
      <c r="V56" s="66">
        <v>559274</v>
      </c>
      <c r="W56" s="66">
        <v>589968</v>
      </c>
      <c r="X56" s="67">
        <v>79847</v>
      </c>
      <c r="Y56" s="67">
        <v>111698</v>
      </c>
      <c r="Z56" s="67">
        <v>31224</v>
      </c>
      <c r="AA56" s="66">
        <v>43022</v>
      </c>
      <c r="AB56" s="66">
        <v>47035</v>
      </c>
      <c r="AC56" s="66">
        <v>307864</v>
      </c>
      <c r="AD56" s="66">
        <v>366193</v>
      </c>
      <c r="AE56" s="66">
        <v>98928</v>
      </c>
      <c r="AF56" s="67">
        <v>19857</v>
      </c>
      <c r="AG56" s="67">
        <v>476118</v>
      </c>
      <c r="AH56" s="67">
        <v>2379610</v>
      </c>
      <c r="AI56" s="66">
        <v>2188323</v>
      </c>
      <c r="AJ56" s="66">
        <v>180256</v>
      </c>
      <c r="AK56" s="66">
        <v>2005132</v>
      </c>
      <c r="AL56" s="70">
        <v>2935</v>
      </c>
      <c r="AM56" s="66">
        <v>191287</v>
      </c>
      <c r="AN56" s="66">
        <v>34800</v>
      </c>
      <c r="AO56" s="67">
        <v>8819</v>
      </c>
      <c r="AP56" s="66">
        <v>4209</v>
      </c>
      <c r="AQ56" s="67">
        <v>43195</v>
      </c>
      <c r="AR56" s="66">
        <v>44848</v>
      </c>
      <c r="AS56" s="66">
        <v>3525</v>
      </c>
      <c r="AT56" s="66">
        <v>5005</v>
      </c>
      <c r="AU56" s="66">
        <v>32853</v>
      </c>
      <c r="AV56" s="66">
        <v>776</v>
      </c>
      <c r="AW56" s="66">
        <v>1399</v>
      </c>
      <c r="AX56" s="67">
        <v>7224</v>
      </c>
      <c r="AY56" s="66">
        <v>4634</v>
      </c>
      <c r="AZ56" s="67">
        <v>0</v>
      </c>
      <c r="BA56" s="66">
        <v>77985</v>
      </c>
      <c r="BB56" s="66">
        <v>41826</v>
      </c>
      <c r="BC56" s="66">
        <v>12992</v>
      </c>
      <c r="BD56" s="70">
        <v>887</v>
      </c>
      <c r="BE56" s="70">
        <v>272</v>
      </c>
      <c r="BF56" s="66">
        <v>19637</v>
      </c>
      <c r="BG56" s="67">
        <v>2370</v>
      </c>
      <c r="BH56" s="66">
        <v>970923</v>
      </c>
      <c r="BI56" s="67">
        <v>457601</v>
      </c>
      <c r="BJ56" s="66">
        <v>224915</v>
      </c>
      <c r="BK56" s="66">
        <v>18787</v>
      </c>
      <c r="BL56" s="66">
        <v>263445</v>
      </c>
      <c r="BM56" s="66">
        <v>3798</v>
      </c>
      <c r="BN56" s="68">
        <v>2376</v>
      </c>
      <c r="BO56" s="67">
        <v>19955953</v>
      </c>
      <c r="BP56" s="66">
        <v>2653621</v>
      </c>
      <c r="BQ56" s="66">
        <v>1657160</v>
      </c>
      <c r="BR56" s="67">
        <v>15235745</v>
      </c>
      <c r="BS56" s="67">
        <v>409428</v>
      </c>
      <c r="BT56" s="66">
        <v>230397</v>
      </c>
      <c r="BU56" s="66">
        <v>220483</v>
      </c>
      <c r="BV56" s="66">
        <v>7970</v>
      </c>
      <c r="BW56" s="68">
        <v>1945</v>
      </c>
      <c r="BX56" s="66">
        <v>170307</v>
      </c>
      <c r="BY56" s="66">
        <v>3459307</v>
      </c>
      <c r="BZ56" s="67">
        <v>83513</v>
      </c>
      <c r="CA56" s="66">
        <v>79707</v>
      </c>
      <c r="CB56" s="67">
        <v>3806</v>
      </c>
      <c r="CC56" s="68">
        <v>2335</v>
      </c>
      <c r="CD56" s="66">
        <v>23736</v>
      </c>
      <c r="CE56" s="66">
        <v>14478</v>
      </c>
      <c r="CF56" s="66">
        <v>3369</v>
      </c>
      <c r="CG56" s="66">
        <v>5888</v>
      </c>
      <c r="CH56" s="66">
        <v>19536</v>
      </c>
      <c r="CI56" s="67">
        <v>12699</v>
      </c>
      <c r="CJ56" s="67">
        <v>6837</v>
      </c>
      <c r="CK56" s="66">
        <v>64999</v>
      </c>
      <c r="CL56" s="66">
        <v>5881</v>
      </c>
      <c r="CM56" s="66">
        <v>59118</v>
      </c>
      <c r="CN56" s="66">
        <v>41480</v>
      </c>
      <c r="CO56" s="66">
        <v>6100</v>
      </c>
      <c r="CP56" s="66">
        <v>27058</v>
      </c>
      <c r="CQ56" s="66">
        <v>8321</v>
      </c>
      <c r="CR56" s="67">
        <v>0</v>
      </c>
    </row>
    <row r="57" spans="1:96" s="69" customFormat="1" ht="10.199999999999999" x14ac:dyDescent="0.2">
      <c r="A57" s="65" t="s">
        <v>231</v>
      </c>
      <c r="B57" s="66">
        <v>104536146</v>
      </c>
      <c r="C57" s="66">
        <v>4210</v>
      </c>
      <c r="D57" s="66">
        <v>4080</v>
      </c>
      <c r="E57" s="70">
        <v>131</v>
      </c>
      <c r="F57" s="66" t="s">
        <v>287</v>
      </c>
      <c r="G57" s="66">
        <v>7580469</v>
      </c>
      <c r="H57" s="67">
        <v>699396</v>
      </c>
      <c r="I57" s="66">
        <v>90359</v>
      </c>
      <c r="J57" s="67">
        <v>28256</v>
      </c>
      <c r="K57" s="66">
        <v>37174</v>
      </c>
      <c r="L57" s="66">
        <v>24930</v>
      </c>
      <c r="M57" s="66">
        <v>72284644</v>
      </c>
      <c r="N57" s="66">
        <v>2910258</v>
      </c>
      <c r="O57" s="68">
        <v>4905291</v>
      </c>
      <c r="P57" s="66">
        <v>44225</v>
      </c>
      <c r="Q57" s="67">
        <v>119316</v>
      </c>
      <c r="R57" s="68">
        <v>32128</v>
      </c>
      <c r="S57" s="70">
        <v>10086</v>
      </c>
      <c r="T57" s="66">
        <v>904563</v>
      </c>
      <c r="U57" s="70">
        <v>21988</v>
      </c>
      <c r="V57" s="66">
        <v>26414967</v>
      </c>
      <c r="W57" s="66">
        <v>12741829</v>
      </c>
      <c r="X57" s="67">
        <v>655434</v>
      </c>
      <c r="Y57" s="67">
        <v>261425</v>
      </c>
      <c r="Z57" s="67">
        <v>862419</v>
      </c>
      <c r="AA57" s="66">
        <v>656977</v>
      </c>
      <c r="AB57" s="66">
        <v>2239499</v>
      </c>
      <c r="AC57" s="66">
        <v>9033494</v>
      </c>
      <c r="AD57" s="66">
        <v>2461955</v>
      </c>
      <c r="AE57" s="66">
        <v>6306209</v>
      </c>
      <c r="AF57" s="68">
        <v>75819</v>
      </c>
      <c r="AG57" s="67">
        <v>1626762</v>
      </c>
      <c r="AH57" s="67">
        <v>3843241</v>
      </c>
      <c r="AI57" s="66">
        <v>2457994</v>
      </c>
      <c r="AJ57" s="66">
        <v>555741</v>
      </c>
      <c r="AK57" s="66">
        <v>1902253</v>
      </c>
      <c r="AL57" s="66">
        <v>0</v>
      </c>
      <c r="AM57" s="66">
        <v>1385248</v>
      </c>
      <c r="AN57" s="66">
        <v>5332</v>
      </c>
      <c r="AO57" s="67">
        <v>8599</v>
      </c>
      <c r="AP57" s="70">
        <v>13645</v>
      </c>
      <c r="AQ57" s="68">
        <v>9</v>
      </c>
      <c r="AR57" s="66">
        <v>8489</v>
      </c>
      <c r="AS57" s="70">
        <v>12616</v>
      </c>
      <c r="AT57" s="70">
        <v>449</v>
      </c>
      <c r="AU57" s="66">
        <v>281565</v>
      </c>
      <c r="AV57" s="66">
        <v>59314</v>
      </c>
      <c r="AW57" s="66">
        <v>578201</v>
      </c>
      <c r="AX57" s="67">
        <v>75563</v>
      </c>
      <c r="AY57" s="66">
        <v>341466</v>
      </c>
      <c r="AZ57" s="67">
        <v>0</v>
      </c>
      <c r="BA57" s="66">
        <v>462127</v>
      </c>
      <c r="BB57" s="66">
        <v>26677</v>
      </c>
      <c r="BC57" s="66">
        <v>8313</v>
      </c>
      <c r="BD57" s="66">
        <v>1</v>
      </c>
      <c r="BE57" s="66">
        <v>0</v>
      </c>
      <c r="BF57" s="66">
        <v>426980</v>
      </c>
      <c r="BG57" s="68">
        <v>156</v>
      </c>
      <c r="BH57" s="66">
        <v>3107281</v>
      </c>
      <c r="BI57" s="67">
        <v>1846375</v>
      </c>
      <c r="BJ57" s="66">
        <v>164482</v>
      </c>
      <c r="BK57" s="66">
        <v>139267</v>
      </c>
      <c r="BL57" s="66">
        <v>506738</v>
      </c>
      <c r="BM57" s="66">
        <v>375610</v>
      </c>
      <c r="BN57" s="67">
        <v>74809</v>
      </c>
      <c r="BO57" s="67">
        <v>6602048</v>
      </c>
      <c r="BP57" s="66">
        <v>619661</v>
      </c>
      <c r="BQ57" s="66">
        <v>1882401</v>
      </c>
      <c r="BR57" s="67">
        <v>4099080</v>
      </c>
      <c r="BS57" s="68">
        <v>907</v>
      </c>
      <c r="BT57" s="66">
        <v>47716</v>
      </c>
      <c r="BU57" s="66">
        <v>39673</v>
      </c>
      <c r="BV57" s="66">
        <v>2386</v>
      </c>
      <c r="BW57" s="67">
        <v>5657</v>
      </c>
      <c r="BX57" s="66">
        <v>988186</v>
      </c>
      <c r="BY57" s="66">
        <v>6491773</v>
      </c>
      <c r="BZ57" s="67">
        <v>414077</v>
      </c>
      <c r="CA57" s="66">
        <v>409422</v>
      </c>
      <c r="CB57" s="67">
        <v>4655</v>
      </c>
      <c r="CC57" s="68">
        <v>22126</v>
      </c>
      <c r="CD57" s="66">
        <v>54483</v>
      </c>
      <c r="CE57" s="66">
        <v>163</v>
      </c>
      <c r="CF57" s="66">
        <v>54314</v>
      </c>
      <c r="CG57" s="66">
        <v>6</v>
      </c>
      <c r="CH57" s="66">
        <v>40304</v>
      </c>
      <c r="CI57" s="67">
        <v>11235</v>
      </c>
      <c r="CJ57" s="67">
        <v>29068</v>
      </c>
      <c r="CK57" s="66">
        <v>1740192</v>
      </c>
      <c r="CL57" s="70">
        <v>1178553</v>
      </c>
      <c r="CM57" s="66">
        <v>561639</v>
      </c>
      <c r="CN57" s="66">
        <v>63514</v>
      </c>
      <c r="CO57" s="70">
        <v>2524</v>
      </c>
      <c r="CP57" s="70">
        <v>60811</v>
      </c>
      <c r="CQ57" s="66">
        <v>179</v>
      </c>
      <c r="CR57" s="67">
        <v>0</v>
      </c>
    </row>
    <row r="58" spans="1:96" s="64" customFormat="1" ht="10.199999999999999" x14ac:dyDescent="0.2">
      <c r="A58" s="65" t="s">
        <v>232</v>
      </c>
      <c r="B58" s="66">
        <v>1036792458</v>
      </c>
      <c r="C58" s="66">
        <v>13559939</v>
      </c>
      <c r="D58" s="66">
        <v>12613486</v>
      </c>
      <c r="E58" s="66">
        <v>172832</v>
      </c>
      <c r="F58" s="66">
        <v>773621</v>
      </c>
      <c r="G58" s="66">
        <v>15789643</v>
      </c>
      <c r="H58" s="67">
        <v>19818495</v>
      </c>
      <c r="I58" s="66">
        <v>12275337</v>
      </c>
      <c r="J58" s="67">
        <v>4227919</v>
      </c>
      <c r="K58" s="66">
        <v>4257811</v>
      </c>
      <c r="L58" s="66">
        <v>3789607</v>
      </c>
      <c r="M58" s="66">
        <v>193081376</v>
      </c>
      <c r="N58" s="66">
        <v>7905709</v>
      </c>
      <c r="O58" s="67">
        <v>3222359</v>
      </c>
      <c r="P58" s="66">
        <v>852861</v>
      </c>
      <c r="Q58" s="67">
        <v>1126788</v>
      </c>
      <c r="R58" s="67">
        <v>51908</v>
      </c>
      <c r="S58" s="66">
        <v>545056</v>
      </c>
      <c r="T58" s="66">
        <v>2802220</v>
      </c>
      <c r="U58" s="66">
        <v>840551</v>
      </c>
      <c r="V58" s="66">
        <v>45112203</v>
      </c>
      <c r="W58" s="66">
        <v>37717624</v>
      </c>
      <c r="X58" s="67">
        <v>1172199</v>
      </c>
      <c r="Y58" s="67">
        <v>1225278</v>
      </c>
      <c r="Z58" s="67">
        <v>4304623</v>
      </c>
      <c r="AA58" s="66">
        <v>3389092</v>
      </c>
      <c r="AB58" s="66">
        <v>8164545</v>
      </c>
      <c r="AC58" s="66">
        <v>11360297</v>
      </c>
      <c r="AD58" s="66">
        <v>34500430</v>
      </c>
      <c r="AE58" s="66">
        <v>23190868</v>
      </c>
      <c r="AF58" s="67">
        <v>571507</v>
      </c>
      <c r="AG58" s="67">
        <v>5025257</v>
      </c>
      <c r="AH58" s="67">
        <v>101995342</v>
      </c>
      <c r="AI58" s="66">
        <v>37072708</v>
      </c>
      <c r="AJ58" s="66">
        <v>17600965</v>
      </c>
      <c r="AK58" s="66">
        <v>19384160</v>
      </c>
      <c r="AL58" s="66">
        <v>87584</v>
      </c>
      <c r="AM58" s="66">
        <v>64922634</v>
      </c>
      <c r="AN58" s="66">
        <v>12072514</v>
      </c>
      <c r="AO58" s="67">
        <v>747899</v>
      </c>
      <c r="AP58" s="66">
        <v>2207093</v>
      </c>
      <c r="AQ58" s="67">
        <v>4590743</v>
      </c>
      <c r="AR58" s="66">
        <v>5110329</v>
      </c>
      <c r="AS58" s="66">
        <v>4004062</v>
      </c>
      <c r="AT58" s="66">
        <v>1684617</v>
      </c>
      <c r="AU58" s="66">
        <v>3109327</v>
      </c>
      <c r="AV58" s="66">
        <v>1156929</v>
      </c>
      <c r="AW58" s="66">
        <v>24342027</v>
      </c>
      <c r="AX58" s="67">
        <v>1217969</v>
      </c>
      <c r="AY58" s="66">
        <v>4679126</v>
      </c>
      <c r="AZ58" s="67">
        <v>0</v>
      </c>
      <c r="BA58" s="66">
        <v>14307604</v>
      </c>
      <c r="BB58" s="66">
        <v>5849962</v>
      </c>
      <c r="BC58" s="66">
        <v>4378676</v>
      </c>
      <c r="BD58" s="66">
        <v>420546</v>
      </c>
      <c r="BE58" s="66">
        <v>298228</v>
      </c>
      <c r="BF58" s="66">
        <v>2866923</v>
      </c>
      <c r="BG58" s="67">
        <v>493269</v>
      </c>
      <c r="BH58" s="66">
        <v>67947323</v>
      </c>
      <c r="BI58" s="67">
        <v>29329425</v>
      </c>
      <c r="BJ58" s="66">
        <v>4026159</v>
      </c>
      <c r="BK58" s="66">
        <v>4188984</v>
      </c>
      <c r="BL58" s="66">
        <v>24248283</v>
      </c>
      <c r="BM58" s="66">
        <v>2946394</v>
      </c>
      <c r="BN58" s="67">
        <v>3208079</v>
      </c>
      <c r="BO58" s="67">
        <v>368626040</v>
      </c>
      <c r="BP58" s="66">
        <v>4562487</v>
      </c>
      <c r="BQ58" s="66">
        <v>-9753102</v>
      </c>
      <c r="BR58" s="67">
        <v>181896431</v>
      </c>
      <c r="BS58" s="67">
        <v>191920225</v>
      </c>
      <c r="BT58" s="66">
        <v>23551502</v>
      </c>
      <c r="BU58" s="66">
        <v>17557394</v>
      </c>
      <c r="BV58" s="66">
        <v>5556212</v>
      </c>
      <c r="BW58" s="67">
        <v>437896</v>
      </c>
      <c r="BX58" s="66">
        <v>20948523</v>
      </c>
      <c r="BY58" s="66">
        <v>124878554</v>
      </c>
      <c r="BZ58" s="67">
        <v>8318137</v>
      </c>
      <c r="CA58" s="66">
        <v>7510650</v>
      </c>
      <c r="CB58" s="67">
        <v>807487</v>
      </c>
      <c r="CC58" s="67">
        <v>552428</v>
      </c>
      <c r="CD58" s="66">
        <v>20479252</v>
      </c>
      <c r="CE58" s="66">
        <v>10971991</v>
      </c>
      <c r="CF58" s="66">
        <v>1672479</v>
      </c>
      <c r="CG58" s="66">
        <v>7834783</v>
      </c>
      <c r="CH58" s="66">
        <v>6021598</v>
      </c>
      <c r="CI58" s="67">
        <v>2333102</v>
      </c>
      <c r="CJ58" s="67">
        <v>3688495</v>
      </c>
      <c r="CK58" s="66">
        <v>19722584</v>
      </c>
      <c r="CL58" s="66">
        <v>9962034</v>
      </c>
      <c r="CM58" s="66">
        <v>9760550</v>
      </c>
      <c r="CN58" s="66">
        <v>4918729</v>
      </c>
      <c r="CO58" s="66">
        <v>756334</v>
      </c>
      <c r="CP58" s="66">
        <v>1618511</v>
      </c>
      <c r="CQ58" s="66">
        <v>2543884</v>
      </c>
      <c r="CR58" s="68">
        <v>50</v>
      </c>
    </row>
    <row r="59" spans="1:96" s="73" customFormat="1" ht="10.199999999999999" x14ac:dyDescent="0.2">
      <c r="A59" s="57" t="s">
        <v>233</v>
      </c>
      <c r="B59" s="61">
        <v>27686726909</v>
      </c>
      <c r="C59" s="61">
        <v>166713609</v>
      </c>
      <c r="D59" s="61">
        <v>124162905</v>
      </c>
      <c r="E59" s="61">
        <v>13950776</v>
      </c>
      <c r="F59" s="61">
        <v>28599928</v>
      </c>
      <c r="G59" s="61">
        <v>423806639</v>
      </c>
      <c r="H59" s="60">
        <v>772740795</v>
      </c>
      <c r="I59" s="61">
        <v>1452460895</v>
      </c>
      <c r="J59" s="60">
        <v>590473519</v>
      </c>
      <c r="K59" s="61">
        <v>253942105</v>
      </c>
      <c r="L59" s="61">
        <v>608045271</v>
      </c>
      <c r="M59" s="61">
        <v>7892308625</v>
      </c>
      <c r="N59" s="61">
        <v>560554831</v>
      </c>
      <c r="O59" s="60">
        <v>143476834</v>
      </c>
      <c r="P59" s="61">
        <v>37670981</v>
      </c>
      <c r="Q59" s="60">
        <v>58549336</v>
      </c>
      <c r="R59" s="60">
        <v>8607937</v>
      </c>
      <c r="S59" s="61">
        <v>68900661</v>
      </c>
      <c r="T59" s="61">
        <v>198309711</v>
      </c>
      <c r="U59" s="61">
        <v>88295768</v>
      </c>
      <c r="V59" s="61">
        <v>2218351885</v>
      </c>
      <c r="W59" s="61">
        <v>851491914</v>
      </c>
      <c r="X59" s="60">
        <v>175368982</v>
      </c>
      <c r="Y59" s="60">
        <v>120124679</v>
      </c>
      <c r="Z59" s="60">
        <v>299912782</v>
      </c>
      <c r="AA59" s="61">
        <v>322553489</v>
      </c>
      <c r="AB59" s="61">
        <v>404616931</v>
      </c>
      <c r="AC59" s="61">
        <v>695625232</v>
      </c>
      <c r="AD59" s="61">
        <v>401220990</v>
      </c>
      <c r="AE59" s="61">
        <v>922120205</v>
      </c>
      <c r="AF59" s="60">
        <v>63731191</v>
      </c>
      <c r="AG59" s="60">
        <v>252824288</v>
      </c>
      <c r="AH59" s="60">
        <v>7375602149</v>
      </c>
      <c r="AI59" s="61">
        <v>3880948788</v>
      </c>
      <c r="AJ59" s="61">
        <v>1723593717</v>
      </c>
      <c r="AK59" s="61">
        <v>2151653201</v>
      </c>
      <c r="AL59" s="61">
        <v>5701870</v>
      </c>
      <c r="AM59" s="61">
        <v>3494653162</v>
      </c>
      <c r="AN59" s="61">
        <v>714605975</v>
      </c>
      <c r="AO59" s="60">
        <v>86832026</v>
      </c>
      <c r="AP59" s="61">
        <v>118387930</v>
      </c>
      <c r="AQ59" s="60">
        <v>230366613</v>
      </c>
      <c r="AR59" s="61">
        <v>517589627</v>
      </c>
      <c r="AS59" s="61">
        <v>299966290</v>
      </c>
      <c r="AT59" s="61">
        <v>339749053</v>
      </c>
      <c r="AU59" s="61">
        <v>185182183</v>
      </c>
      <c r="AV59" s="61">
        <v>84106946</v>
      </c>
      <c r="AW59" s="61">
        <v>623253105</v>
      </c>
      <c r="AX59" s="60">
        <v>122544406</v>
      </c>
      <c r="AY59" s="61">
        <v>172069010</v>
      </c>
      <c r="AZ59" s="62">
        <v>199</v>
      </c>
      <c r="BA59" s="61">
        <v>809704333</v>
      </c>
      <c r="BB59" s="61">
        <v>278216788</v>
      </c>
      <c r="BC59" s="61">
        <v>247685538</v>
      </c>
      <c r="BD59" s="61">
        <v>26214666</v>
      </c>
      <c r="BE59" s="61">
        <v>10919107</v>
      </c>
      <c r="BF59" s="61">
        <v>227050507</v>
      </c>
      <c r="BG59" s="60">
        <v>19617726</v>
      </c>
      <c r="BH59" s="61">
        <v>1074422877</v>
      </c>
      <c r="BI59" s="60">
        <v>278374190</v>
      </c>
      <c r="BJ59" s="61">
        <v>81196628</v>
      </c>
      <c r="BK59" s="61">
        <v>121354088</v>
      </c>
      <c r="BL59" s="61">
        <v>505021249</v>
      </c>
      <c r="BM59" s="61">
        <v>43550656</v>
      </c>
      <c r="BN59" s="60">
        <v>44926067</v>
      </c>
      <c r="BO59" s="60">
        <v>3471433762</v>
      </c>
      <c r="BP59" s="61">
        <v>606650849</v>
      </c>
      <c r="BQ59" s="61">
        <v>606434952</v>
      </c>
      <c r="BR59" s="60">
        <v>2115274118</v>
      </c>
      <c r="BS59" s="60">
        <v>143073842</v>
      </c>
      <c r="BT59" s="61">
        <v>319508515</v>
      </c>
      <c r="BU59" s="61">
        <v>187177695</v>
      </c>
      <c r="BV59" s="61">
        <v>127816880</v>
      </c>
      <c r="BW59" s="60">
        <v>4513941</v>
      </c>
      <c r="BX59" s="61">
        <v>1015095895</v>
      </c>
      <c r="BY59" s="61">
        <v>1009468878</v>
      </c>
      <c r="BZ59" s="60">
        <v>482154511</v>
      </c>
      <c r="CA59" s="61">
        <v>421761609</v>
      </c>
      <c r="CB59" s="60">
        <v>60392902</v>
      </c>
      <c r="CC59" s="60">
        <v>44625377</v>
      </c>
      <c r="CD59" s="61">
        <v>613562281</v>
      </c>
      <c r="CE59" s="61">
        <v>382150173</v>
      </c>
      <c r="CF59" s="61">
        <v>96312461</v>
      </c>
      <c r="CG59" s="61">
        <v>135099646</v>
      </c>
      <c r="CH59" s="61">
        <v>102170517</v>
      </c>
      <c r="CI59" s="60">
        <v>48610583</v>
      </c>
      <c r="CJ59" s="60">
        <v>53559934</v>
      </c>
      <c r="CK59" s="61">
        <v>460476937</v>
      </c>
      <c r="CL59" s="61">
        <v>110146287</v>
      </c>
      <c r="CM59" s="61">
        <v>350330650</v>
      </c>
      <c r="CN59" s="61">
        <v>200261901</v>
      </c>
      <c r="CO59" s="61">
        <v>110992784</v>
      </c>
      <c r="CP59" s="61">
        <v>74285403</v>
      </c>
      <c r="CQ59" s="61">
        <v>14983714</v>
      </c>
      <c r="CR59" s="60">
        <v>208412</v>
      </c>
    </row>
    <row r="60" spans="1:96" s="69" customFormat="1" ht="10.199999999999999" x14ac:dyDescent="0.2">
      <c r="A60" s="65" t="s">
        <v>302</v>
      </c>
      <c r="B60" s="66">
        <v>16080386856</v>
      </c>
      <c r="C60" s="66">
        <v>83571990</v>
      </c>
      <c r="D60" s="66">
        <v>58324970</v>
      </c>
      <c r="E60" s="66">
        <v>7716963</v>
      </c>
      <c r="F60" s="66">
        <v>17530057</v>
      </c>
      <c r="G60" s="66">
        <v>217851505</v>
      </c>
      <c r="H60" s="67">
        <v>477213841</v>
      </c>
      <c r="I60" s="66">
        <v>1108069870</v>
      </c>
      <c r="J60" s="67">
        <v>499045469</v>
      </c>
      <c r="K60" s="66">
        <v>196522181</v>
      </c>
      <c r="L60" s="66">
        <v>412502220</v>
      </c>
      <c r="M60" s="66">
        <v>5736752807</v>
      </c>
      <c r="N60" s="66">
        <v>424257072</v>
      </c>
      <c r="O60" s="67">
        <v>71041708</v>
      </c>
      <c r="P60" s="66">
        <v>26503220</v>
      </c>
      <c r="Q60" s="67">
        <v>37361026</v>
      </c>
      <c r="R60" s="67">
        <v>5471037</v>
      </c>
      <c r="S60" s="66">
        <v>50937581</v>
      </c>
      <c r="T60" s="66">
        <v>144757102</v>
      </c>
      <c r="U60" s="66">
        <v>53881910</v>
      </c>
      <c r="V60" s="66">
        <v>2025896072</v>
      </c>
      <c r="W60" s="66">
        <v>495682317</v>
      </c>
      <c r="X60" s="67">
        <v>127492133</v>
      </c>
      <c r="Y60" s="67">
        <v>81069893</v>
      </c>
      <c r="Z60" s="67">
        <v>245978538</v>
      </c>
      <c r="AA60" s="66">
        <v>229491855</v>
      </c>
      <c r="AB60" s="66">
        <v>277647423</v>
      </c>
      <c r="AC60" s="66">
        <v>421855067</v>
      </c>
      <c r="AD60" s="66">
        <v>181879128</v>
      </c>
      <c r="AE60" s="66">
        <v>646366209</v>
      </c>
      <c r="AF60" s="67">
        <v>43070761</v>
      </c>
      <c r="AG60" s="67">
        <v>146112754</v>
      </c>
      <c r="AH60" s="67">
        <v>5815471119</v>
      </c>
      <c r="AI60" s="66">
        <v>3212145153</v>
      </c>
      <c r="AJ60" s="66">
        <v>1368573411</v>
      </c>
      <c r="AK60" s="66">
        <v>1843494430</v>
      </c>
      <c r="AL60" s="70">
        <v>77313</v>
      </c>
      <c r="AM60" s="66">
        <v>2603325965</v>
      </c>
      <c r="AN60" s="66">
        <v>588038535</v>
      </c>
      <c r="AO60" s="67">
        <v>50767145</v>
      </c>
      <c r="AP60" s="66">
        <v>83218695</v>
      </c>
      <c r="AQ60" s="67">
        <v>158671042</v>
      </c>
      <c r="AR60" s="66">
        <v>380278642</v>
      </c>
      <c r="AS60" s="66">
        <v>224580190</v>
      </c>
      <c r="AT60" s="66">
        <v>309848355</v>
      </c>
      <c r="AU60" s="66">
        <v>100208709</v>
      </c>
      <c r="AV60" s="66">
        <v>50931582</v>
      </c>
      <c r="AW60" s="66">
        <v>462332923</v>
      </c>
      <c r="AX60" s="67">
        <v>76034404</v>
      </c>
      <c r="AY60" s="66">
        <v>118415742</v>
      </c>
      <c r="AZ60" s="67">
        <v>0</v>
      </c>
      <c r="BA60" s="66">
        <v>276042729</v>
      </c>
      <c r="BB60" s="66">
        <v>81626230</v>
      </c>
      <c r="BC60" s="66">
        <v>80566715</v>
      </c>
      <c r="BD60" s="66">
        <v>8349890</v>
      </c>
      <c r="BE60" s="66">
        <v>7215039</v>
      </c>
      <c r="BF60" s="66">
        <v>91909766</v>
      </c>
      <c r="BG60" s="67">
        <v>6375088</v>
      </c>
      <c r="BH60" s="66">
        <v>230848715</v>
      </c>
      <c r="BI60" s="67">
        <v>75608430</v>
      </c>
      <c r="BJ60" s="66">
        <v>23257374</v>
      </c>
      <c r="BK60" s="66">
        <v>18632850</v>
      </c>
      <c r="BL60" s="66">
        <v>96013124</v>
      </c>
      <c r="BM60" s="66">
        <v>7177053</v>
      </c>
      <c r="BN60" s="67">
        <v>10159884</v>
      </c>
      <c r="BO60" s="67">
        <v>1211593190</v>
      </c>
      <c r="BP60" s="66">
        <v>2634002</v>
      </c>
      <c r="BQ60" s="66">
        <v>3560189</v>
      </c>
      <c r="BR60" s="67">
        <v>1205167293</v>
      </c>
      <c r="BS60" s="68">
        <v>231705</v>
      </c>
      <c r="BT60" s="66">
        <v>39704339</v>
      </c>
      <c r="BU60" s="66">
        <v>8742348</v>
      </c>
      <c r="BV60" s="66">
        <v>30714709</v>
      </c>
      <c r="BW60" s="67">
        <v>247282</v>
      </c>
      <c r="BX60" s="66">
        <v>329603400</v>
      </c>
      <c r="BY60" s="66">
        <v>6300377</v>
      </c>
      <c r="BZ60" s="67">
        <v>217691881</v>
      </c>
      <c r="CA60" s="66">
        <v>193193530</v>
      </c>
      <c r="CB60" s="67">
        <v>24498351</v>
      </c>
      <c r="CC60" s="67">
        <v>6342143</v>
      </c>
      <c r="CD60" s="66">
        <v>60855216</v>
      </c>
      <c r="CE60" s="66">
        <v>36986609</v>
      </c>
      <c r="CF60" s="66">
        <v>17582955</v>
      </c>
      <c r="CG60" s="66">
        <v>6285651</v>
      </c>
      <c r="CH60" s="66">
        <v>19569031</v>
      </c>
      <c r="CI60" s="67">
        <v>9000903</v>
      </c>
      <c r="CJ60" s="67">
        <v>10568128</v>
      </c>
      <c r="CK60" s="66">
        <v>160410112</v>
      </c>
      <c r="CL60" s="66">
        <v>13755587</v>
      </c>
      <c r="CM60" s="66">
        <v>146654525</v>
      </c>
      <c r="CN60" s="66">
        <v>82350872</v>
      </c>
      <c r="CO60" s="66">
        <v>60129129</v>
      </c>
      <c r="CP60" s="66">
        <v>20340334</v>
      </c>
      <c r="CQ60" s="66">
        <v>1881409</v>
      </c>
      <c r="CR60" s="68">
        <v>143721</v>
      </c>
    </row>
    <row r="61" spans="1:96" s="69" customFormat="1" ht="10.199999999999999" x14ac:dyDescent="0.2">
      <c r="A61" s="65" t="s">
        <v>234</v>
      </c>
      <c r="B61" s="66">
        <v>466838453</v>
      </c>
      <c r="C61" s="66">
        <v>3041883</v>
      </c>
      <c r="D61" s="66">
        <v>1984586</v>
      </c>
      <c r="E61" s="66">
        <v>343584</v>
      </c>
      <c r="F61" s="66">
        <v>713713</v>
      </c>
      <c r="G61" s="66">
        <v>5757034</v>
      </c>
      <c r="H61" s="67">
        <v>2424560</v>
      </c>
      <c r="I61" s="66">
        <v>45313326</v>
      </c>
      <c r="J61" s="67">
        <v>11201339</v>
      </c>
      <c r="K61" s="66">
        <v>5381640</v>
      </c>
      <c r="L61" s="66">
        <v>28730347</v>
      </c>
      <c r="M61" s="66">
        <v>55121144</v>
      </c>
      <c r="N61" s="66">
        <v>3347466</v>
      </c>
      <c r="O61" s="67">
        <v>1726115</v>
      </c>
      <c r="P61" s="66">
        <v>633663</v>
      </c>
      <c r="Q61" s="67">
        <v>1309116</v>
      </c>
      <c r="R61" s="67">
        <v>161115</v>
      </c>
      <c r="S61" s="66">
        <v>1114610</v>
      </c>
      <c r="T61" s="66">
        <v>1146705</v>
      </c>
      <c r="U61" s="66">
        <v>2783062</v>
      </c>
      <c r="V61" s="66">
        <v>1463859</v>
      </c>
      <c r="W61" s="66">
        <v>5919596</v>
      </c>
      <c r="X61" s="67">
        <v>2266792</v>
      </c>
      <c r="Y61" s="67">
        <v>1506035</v>
      </c>
      <c r="Z61" s="67">
        <v>1971878</v>
      </c>
      <c r="AA61" s="66">
        <v>7658730</v>
      </c>
      <c r="AB61" s="66">
        <v>4686312</v>
      </c>
      <c r="AC61" s="66">
        <v>6188457</v>
      </c>
      <c r="AD61" s="66">
        <v>2344536</v>
      </c>
      <c r="AE61" s="66">
        <v>3050101</v>
      </c>
      <c r="AF61" s="67">
        <v>1275632</v>
      </c>
      <c r="AG61" s="67">
        <v>4567363</v>
      </c>
      <c r="AH61" s="67">
        <v>71329598</v>
      </c>
      <c r="AI61" s="66">
        <v>40898107</v>
      </c>
      <c r="AJ61" s="66">
        <v>24839848</v>
      </c>
      <c r="AK61" s="66">
        <v>14769811</v>
      </c>
      <c r="AL61" s="66">
        <v>1288448</v>
      </c>
      <c r="AM61" s="66">
        <v>30431491</v>
      </c>
      <c r="AN61" s="66">
        <v>6269081</v>
      </c>
      <c r="AO61" s="67">
        <v>2145295</v>
      </c>
      <c r="AP61" s="66">
        <v>1880324</v>
      </c>
      <c r="AQ61" s="67">
        <v>2906421</v>
      </c>
      <c r="AR61" s="66">
        <v>3104255</v>
      </c>
      <c r="AS61" s="66">
        <v>3337087</v>
      </c>
      <c r="AT61" s="66">
        <v>1177229</v>
      </c>
      <c r="AU61" s="66">
        <v>2533445</v>
      </c>
      <c r="AV61" s="66">
        <v>1126020</v>
      </c>
      <c r="AW61" s="66">
        <v>782918</v>
      </c>
      <c r="AX61" s="67">
        <v>2780237</v>
      </c>
      <c r="AY61" s="66">
        <v>2389178</v>
      </c>
      <c r="AZ61" s="67">
        <v>0</v>
      </c>
      <c r="BA61" s="66">
        <v>11830848</v>
      </c>
      <c r="BB61" s="66">
        <v>1536626</v>
      </c>
      <c r="BC61" s="66">
        <v>6232655</v>
      </c>
      <c r="BD61" s="66">
        <v>558977</v>
      </c>
      <c r="BE61" s="66">
        <v>22088</v>
      </c>
      <c r="BF61" s="66">
        <v>3134574</v>
      </c>
      <c r="BG61" s="67">
        <v>345927</v>
      </c>
      <c r="BH61" s="66">
        <v>14893196</v>
      </c>
      <c r="BI61" s="67">
        <v>5101608</v>
      </c>
      <c r="BJ61" s="66">
        <v>2853660</v>
      </c>
      <c r="BK61" s="66">
        <v>1564790</v>
      </c>
      <c r="BL61" s="66">
        <v>2972055</v>
      </c>
      <c r="BM61" s="66">
        <v>994939</v>
      </c>
      <c r="BN61" s="67">
        <v>1406144</v>
      </c>
      <c r="BO61" s="67">
        <v>38349467</v>
      </c>
      <c r="BP61" s="66">
        <v>4917181</v>
      </c>
      <c r="BQ61" s="66">
        <v>19529826</v>
      </c>
      <c r="BR61" s="67">
        <v>13459835</v>
      </c>
      <c r="BS61" s="67">
        <v>442626</v>
      </c>
      <c r="BT61" s="66">
        <v>12818767</v>
      </c>
      <c r="BU61" s="66">
        <v>10519154</v>
      </c>
      <c r="BV61" s="66">
        <v>2135147</v>
      </c>
      <c r="BW61" s="67">
        <v>164466</v>
      </c>
      <c r="BX61" s="66">
        <v>81888017</v>
      </c>
      <c r="BY61" s="66">
        <v>8066130</v>
      </c>
      <c r="BZ61" s="67">
        <v>13504342</v>
      </c>
      <c r="CA61" s="66">
        <v>12275193</v>
      </c>
      <c r="CB61" s="67">
        <v>1229149</v>
      </c>
      <c r="CC61" s="67">
        <v>2019091</v>
      </c>
      <c r="CD61" s="66">
        <v>73098117</v>
      </c>
      <c r="CE61" s="66">
        <v>66833944</v>
      </c>
      <c r="CF61" s="66">
        <v>4905119</v>
      </c>
      <c r="CG61" s="66">
        <v>1359054</v>
      </c>
      <c r="CH61" s="66">
        <v>7029980</v>
      </c>
      <c r="CI61" s="67">
        <v>5554398</v>
      </c>
      <c r="CJ61" s="67">
        <v>1475582</v>
      </c>
      <c r="CK61" s="66">
        <v>9362480</v>
      </c>
      <c r="CL61" s="66">
        <v>1177209</v>
      </c>
      <c r="CM61" s="66">
        <v>8185270</v>
      </c>
      <c r="CN61" s="66">
        <v>10990447</v>
      </c>
      <c r="CO61" s="66">
        <v>6478198</v>
      </c>
      <c r="CP61" s="66">
        <v>4178938</v>
      </c>
      <c r="CQ61" s="66">
        <v>333311</v>
      </c>
      <c r="CR61" s="67">
        <v>26</v>
      </c>
    </row>
    <row r="62" spans="1:96" s="69" customFormat="1" ht="10.199999999999999" x14ac:dyDescent="0.2">
      <c r="A62" s="65" t="s">
        <v>278</v>
      </c>
      <c r="B62" s="66">
        <v>2569360630</v>
      </c>
      <c r="C62" s="66">
        <v>11088484</v>
      </c>
      <c r="D62" s="66">
        <v>7646125</v>
      </c>
      <c r="E62" s="66">
        <v>1082287</v>
      </c>
      <c r="F62" s="66">
        <v>2360071</v>
      </c>
      <c r="G62" s="66">
        <v>21170999</v>
      </c>
      <c r="H62" s="67">
        <v>26017583</v>
      </c>
      <c r="I62" s="66">
        <v>78024580</v>
      </c>
      <c r="J62" s="67">
        <v>19572045</v>
      </c>
      <c r="K62" s="66">
        <v>10260865</v>
      </c>
      <c r="L62" s="66">
        <v>48191671</v>
      </c>
      <c r="M62" s="66">
        <v>451903773</v>
      </c>
      <c r="N62" s="66">
        <v>24193587</v>
      </c>
      <c r="O62" s="67">
        <v>14133432</v>
      </c>
      <c r="P62" s="66">
        <v>3063071</v>
      </c>
      <c r="Q62" s="67">
        <v>5802543</v>
      </c>
      <c r="R62" s="67">
        <v>926240</v>
      </c>
      <c r="S62" s="66">
        <v>4278273</v>
      </c>
      <c r="T62" s="66">
        <v>12082351</v>
      </c>
      <c r="U62" s="66">
        <v>9494191</v>
      </c>
      <c r="V62" s="66">
        <v>26233534</v>
      </c>
      <c r="W62" s="66">
        <v>78981334</v>
      </c>
      <c r="X62" s="67">
        <v>9482916</v>
      </c>
      <c r="Y62" s="67">
        <v>7281045</v>
      </c>
      <c r="Z62" s="67">
        <v>8117171</v>
      </c>
      <c r="AA62" s="66">
        <v>21115874</v>
      </c>
      <c r="AB62" s="66">
        <v>32441983</v>
      </c>
      <c r="AC62" s="66">
        <v>92372918</v>
      </c>
      <c r="AD62" s="66">
        <v>26085324</v>
      </c>
      <c r="AE62" s="66">
        <v>35959837</v>
      </c>
      <c r="AF62" s="67">
        <v>5602695</v>
      </c>
      <c r="AG62" s="67">
        <v>34255455</v>
      </c>
      <c r="AH62" s="67">
        <v>510562169</v>
      </c>
      <c r="AI62" s="66">
        <v>198749490</v>
      </c>
      <c r="AJ62" s="66">
        <v>108315413</v>
      </c>
      <c r="AK62" s="66">
        <v>88804558</v>
      </c>
      <c r="AL62" s="66">
        <v>1629518</v>
      </c>
      <c r="AM62" s="66">
        <v>311812680</v>
      </c>
      <c r="AN62" s="66">
        <v>45061332</v>
      </c>
      <c r="AO62" s="67">
        <v>10786127</v>
      </c>
      <c r="AP62" s="66">
        <v>12548890</v>
      </c>
      <c r="AQ62" s="67">
        <v>27135479</v>
      </c>
      <c r="AR62" s="66">
        <v>48013787</v>
      </c>
      <c r="AS62" s="66">
        <v>29142444</v>
      </c>
      <c r="AT62" s="66">
        <v>8308103</v>
      </c>
      <c r="AU62" s="66">
        <v>25789289</v>
      </c>
      <c r="AV62" s="66">
        <v>9996621</v>
      </c>
      <c r="AW62" s="66">
        <v>67744755</v>
      </c>
      <c r="AX62" s="67">
        <v>13500481</v>
      </c>
      <c r="AY62" s="66">
        <v>13785372</v>
      </c>
      <c r="AZ62" s="67">
        <v>0</v>
      </c>
      <c r="BA62" s="66">
        <v>127551032</v>
      </c>
      <c r="BB62" s="66">
        <v>41734732</v>
      </c>
      <c r="BC62" s="66">
        <v>38367535</v>
      </c>
      <c r="BD62" s="66">
        <v>5558208</v>
      </c>
      <c r="BE62" s="66">
        <v>375770</v>
      </c>
      <c r="BF62" s="66">
        <v>37878516</v>
      </c>
      <c r="BG62" s="67">
        <v>3636270</v>
      </c>
      <c r="BH62" s="66">
        <v>177908005</v>
      </c>
      <c r="BI62" s="67">
        <v>68681145</v>
      </c>
      <c r="BJ62" s="66">
        <v>8293276</v>
      </c>
      <c r="BK62" s="66">
        <v>15895221</v>
      </c>
      <c r="BL62" s="66">
        <v>62126830</v>
      </c>
      <c r="BM62" s="66">
        <v>12024685</v>
      </c>
      <c r="BN62" s="67">
        <v>10886848</v>
      </c>
      <c r="BO62" s="67">
        <v>305401784</v>
      </c>
      <c r="BP62" s="66">
        <v>45463298</v>
      </c>
      <c r="BQ62" s="66">
        <v>90614246</v>
      </c>
      <c r="BR62" s="67">
        <v>168570312</v>
      </c>
      <c r="BS62" s="67">
        <v>753928</v>
      </c>
      <c r="BT62" s="66">
        <v>56003597</v>
      </c>
      <c r="BU62" s="66">
        <v>39270574</v>
      </c>
      <c r="BV62" s="66">
        <v>15859187</v>
      </c>
      <c r="BW62" s="67">
        <v>873836</v>
      </c>
      <c r="BX62" s="66">
        <v>236606742</v>
      </c>
      <c r="BY62" s="66">
        <v>132512352</v>
      </c>
      <c r="BZ62" s="67">
        <v>97586516</v>
      </c>
      <c r="CA62" s="66">
        <v>88670116</v>
      </c>
      <c r="CB62" s="67">
        <v>8916400</v>
      </c>
      <c r="CC62" s="67">
        <v>13789281</v>
      </c>
      <c r="CD62" s="66">
        <v>183194209</v>
      </c>
      <c r="CE62" s="66">
        <v>103831634</v>
      </c>
      <c r="CF62" s="66">
        <v>30086124</v>
      </c>
      <c r="CG62" s="66">
        <v>49276450</v>
      </c>
      <c r="CH62" s="66">
        <v>19675881</v>
      </c>
      <c r="CI62" s="67">
        <v>8909299</v>
      </c>
      <c r="CJ62" s="67">
        <v>10766582</v>
      </c>
      <c r="CK62" s="66">
        <v>89851315</v>
      </c>
      <c r="CL62" s="66">
        <v>25319238</v>
      </c>
      <c r="CM62" s="66">
        <v>64532077</v>
      </c>
      <c r="CN62" s="66">
        <v>30501124</v>
      </c>
      <c r="CO62" s="66">
        <v>13642961</v>
      </c>
      <c r="CP62" s="66">
        <v>15059065</v>
      </c>
      <c r="CQ62" s="66">
        <v>1799098</v>
      </c>
      <c r="CR62" s="68">
        <v>11205</v>
      </c>
    </row>
    <row r="63" spans="1:96" s="69" customFormat="1" ht="10.199999999999999" x14ac:dyDescent="0.2">
      <c r="A63" s="65" t="s">
        <v>235</v>
      </c>
      <c r="B63" s="66">
        <v>176026838</v>
      </c>
      <c r="C63" s="66">
        <v>3634720</v>
      </c>
      <c r="D63" s="66">
        <v>2726355</v>
      </c>
      <c r="E63" s="66">
        <v>290232</v>
      </c>
      <c r="F63" s="66">
        <v>618133</v>
      </c>
      <c r="G63" s="66">
        <v>2729417</v>
      </c>
      <c r="H63" s="67">
        <v>15766034</v>
      </c>
      <c r="I63" s="66">
        <v>5841427</v>
      </c>
      <c r="J63" s="67">
        <v>1235065</v>
      </c>
      <c r="K63" s="66">
        <v>1308396</v>
      </c>
      <c r="L63" s="66">
        <v>3297965</v>
      </c>
      <c r="M63" s="66">
        <v>31698592</v>
      </c>
      <c r="N63" s="66">
        <v>2790355</v>
      </c>
      <c r="O63" s="67">
        <v>875066</v>
      </c>
      <c r="P63" s="66">
        <v>179643</v>
      </c>
      <c r="Q63" s="67">
        <v>202007</v>
      </c>
      <c r="R63" s="67">
        <v>30998</v>
      </c>
      <c r="S63" s="66">
        <v>387609</v>
      </c>
      <c r="T63" s="66">
        <v>1364074</v>
      </c>
      <c r="U63" s="66">
        <v>608959</v>
      </c>
      <c r="V63" s="66">
        <v>2720964</v>
      </c>
      <c r="W63" s="66">
        <v>5640990</v>
      </c>
      <c r="X63" s="67">
        <v>1035221</v>
      </c>
      <c r="Y63" s="67">
        <v>933944</v>
      </c>
      <c r="Z63" s="67">
        <v>2509956</v>
      </c>
      <c r="AA63" s="66">
        <v>1415244</v>
      </c>
      <c r="AB63" s="66">
        <v>1487003</v>
      </c>
      <c r="AC63" s="66">
        <v>3121541</v>
      </c>
      <c r="AD63" s="66">
        <v>1690540</v>
      </c>
      <c r="AE63" s="66">
        <v>3045242</v>
      </c>
      <c r="AF63" s="67">
        <v>311094</v>
      </c>
      <c r="AG63" s="67">
        <v>1348142</v>
      </c>
      <c r="AH63" s="67">
        <v>31600729</v>
      </c>
      <c r="AI63" s="66">
        <v>11886682</v>
      </c>
      <c r="AJ63" s="66">
        <v>5117045</v>
      </c>
      <c r="AK63" s="66">
        <v>6738021</v>
      </c>
      <c r="AL63" s="66">
        <v>31616</v>
      </c>
      <c r="AM63" s="66">
        <v>19714047</v>
      </c>
      <c r="AN63" s="66">
        <v>2071410</v>
      </c>
      <c r="AO63" s="67">
        <v>691631</v>
      </c>
      <c r="AP63" s="66">
        <v>615193</v>
      </c>
      <c r="AQ63" s="67">
        <v>1526723</v>
      </c>
      <c r="AR63" s="66">
        <v>4959259</v>
      </c>
      <c r="AS63" s="66">
        <v>1107719</v>
      </c>
      <c r="AT63" s="66">
        <v>1251348</v>
      </c>
      <c r="AU63" s="66">
        <v>1420498</v>
      </c>
      <c r="AV63" s="66">
        <v>619671</v>
      </c>
      <c r="AW63" s="66">
        <v>3887524</v>
      </c>
      <c r="AX63" s="67">
        <v>903655</v>
      </c>
      <c r="AY63" s="66">
        <v>659415</v>
      </c>
      <c r="AZ63" s="67">
        <v>0</v>
      </c>
      <c r="BA63" s="66">
        <v>22661063</v>
      </c>
      <c r="BB63" s="66">
        <v>11459971</v>
      </c>
      <c r="BC63" s="66">
        <v>5737224</v>
      </c>
      <c r="BD63" s="66">
        <v>465435</v>
      </c>
      <c r="BE63" s="66">
        <v>176557</v>
      </c>
      <c r="BF63" s="66">
        <v>4420507</v>
      </c>
      <c r="BG63" s="67">
        <v>401368</v>
      </c>
      <c r="BH63" s="66">
        <v>12720437</v>
      </c>
      <c r="BI63" s="67">
        <v>1896949</v>
      </c>
      <c r="BJ63" s="66">
        <v>606476</v>
      </c>
      <c r="BK63" s="66">
        <v>657425</v>
      </c>
      <c r="BL63" s="66">
        <v>8548344</v>
      </c>
      <c r="BM63" s="66">
        <v>708291</v>
      </c>
      <c r="BN63" s="67">
        <v>302952</v>
      </c>
      <c r="BO63" s="67">
        <v>5274097</v>
      </c>
      <c r="BP63" s="66">
        <v>2067334</v>
      </c>
      <c r="BQ63" s="66">
        <v>1449652</v>
      </c>
      <c r="BR63" s="67">
        <v>1674034</v>
      </c>
      <c r="BS63" s="67">
        <v>83077</v>
      </c>
      <c r="BT63" s="66">
        <v>7733990</v>
      </c>
      <c r="BU63" s="66">
        <v>4430879</v>
      </c>
      <c r="BV63" s="66">
        <v>3277125</v>
      </c>
      <c r="BW63" s="67">
        <v>25986</v>
      </c>
      <c r="BX63" s="66">
        <v>5268479</v>
      </c>
      <c r="BY63" s="66">
        <v>6981415</v>
      </c>
      <c r="BZ63" s="67">
        <v>3930815</v>
      </c>
      <c r="CA63" s="66">
        <v>2293830</v>
      </c>
      <c r="CB63" s="67">
        <v>1636985</v>
      </c>
      <c r="CC63" s="67">
        <v>516336</v>
      </c>
      <c r="CD63" s="66">
        <v>5937960</v>
      </c>
      <c r="CE63" s="66">
        <v>3072174</v>
      </c>
      <c r="CF63" s="66">
        <v>1064064</v>
      </c>
      <c r="CG63" s="66">
        <v>1801722</v>
      </c>
      <c r="CH63" s="66">
        <v>1710000</v>
      </c>
      <c r="CI63" s="67">
        <v>363022</v>
      </c>
      <c r="CJ63" s="67">
        <v>1346977</v>
      </c>
      <c r="CK63" s="66">
        <v>8319967</v>
      </c>
      <c r="CL63" s="66">
        <v>2305493</v>
      </c>
      <c r="CM63" s="66">
        <v>6014474</v>
      </c>
      <c r="CN63" s="66">
        <v>3700861</v>
      </c>
      <c r="CO63" s="66">
        <v>900253</v>
      </c>
      <c r="CP63" s="66">
        <v>1143475</v>
      </c>
      <c r="CQ63" s="66">
        <v>1657134</v>
      </c>
      <c r="CR63" s="68">
        <v>499</v>
      </c>
    </row>
    <row r="64" spans="1:96" s="69" customFormat="1" ht="10.199999999999999" x14ac:dyDescent="0.2">
      <c r="A64" s="65" t="s">
        <v>236</v>
      </c>
      <c r="B64" s="66">
        <v>253945480</v>
      </c>
      <c r="C64" s="66">
        <v>182203</v>
      </c>
      <c r="D64" s="66">
        <v>54472</v>
      </c>
      <c r="E64" s="66">
        <v>20853</v>
      </c>
      <c r="F64" s="66">
        <v>106879</v>
      </c>
      <c r="G64" s="66">
        <v>523308</v>
      </c>
      <c r="H64" s="67">
        <v>3352819</v>
      </c>
      <c r="I64" s="66">
        <v>3858253</v>
      </c>
      <c r="J64" s="67">
        <v>1191605</v>
      </c>
      <c r="K64" s="66">
        <v>877574</v>
      </c>
      <c r="L64" s="66">
        <v>1789075</v>
      </c>
      <c r="M64" s="66">
        <v>19024565</v>
      </c>
      <c r="N64" s="66">
        <v>1083544</v>
      </c>
      <c r="O64" s="67">
        <v>134128</v>
      </c>
      <c r="P64" s="66">
        <v>79885</v>
      </c>
      <c r="Q64" s="67">
        <v>134104</v>
      </c>
      <c r="R64" s="67">
        <v>17726</v>
      </c>
      <c r="S64" s="66">
        <v>142305</v>
      </c>
      <c r="T64" s="66">
        <v>214688</v>
      </c>
      <c r="U64" s="66">
        <v>439322</v>
      </c>
      <c r="V64" s="66">
        <v>313080</v>
      </c>
      <c r="W64" s="66">
        <v>934778</v>
      </c>
      <c r="X64" s="67">
        <v>278900</v>
      </c>
      <c r="Y64" s="67">
        <v>335954</v>
      </c>
      <c r="Z64" s="67">
        <v>376135</v>
      </c>
      <c r="AA64" s="66">
        <v>752441</v>
      </c>
      <c r="AB64" s="66">
        <v>913266</v>
      </c>
      <c r="AC64" s="66">
        <v>1087750</v>
      </c>
      <c r="AD64" s="66">
        <v>5786864</v>
      </c>
      <c r="AE64" s="66">
        <v>4992449</v>
      </c>
      <c r="AF64" s="67">
        <v>285526</v>
      </c>
      <c r="AG64" s="67">
        <v>721719</v>
      </c>
      <c r="AH64" s="67">
        <v>13903111</v>
      </c>
      <c r="AI64" s="66">
        <v>7643972</v>
      </c>
      <c r="AJ64" s="66">
        <v>5028883</v>
      </c>
      <c r="AK64" s="66">
        <v>2604227</v>
      </c>
      <c r="AL64" s="70">
        <v>10862</v>
      </c>
      <c r="AM64" s="66">
        <v>6259138</v>
      </c>
      <c r="AN64" s="66">
        <v>842963</v>
      </c>
      <c r="AO64" s="67">
        <v>238816</v>
      </c>
      <c r="AP64" s="66">
        <v>204626</v>
      </c>
      <c r="AQ64" s="67">
        <v>983582</v>
      </c>
      <c r="AR64" s="66">
        <v>312605</v>
      </c>
      <c r="AS64" s="66">
        <v>475187</v>
      </c>
      <c r="AT64" s="66">
        <v>132799</v>
      </c>
      <c r="AU64" s="66">
        <v>553779</v>
      </c>
      <c r="AV64" s="66">
        <v>89498</v>
      </c>
      <c r="AW64" s="66">
        <v>1356060</v>
      </c>
      <c r="AX64" s="67">
        <v>232279</v>
      </c>
      <c r="AY64" s="66">
        <v>836945</v>
      </c>
      <c r="AZ64" s="67">
        <v>0</v>
      </c>
      <c r="BA64" s="66">
        <v>1548734</v>
      </c>
      <c r="BB64" s="66">
        <v>252588</v>
      </c>
      <c r="BC64" s="66">
        <v>470887</v>
      </c>
      <c r="BD64" s="66">
        <v>32584</v>
      </c>
      <c r="BE64" s="70">
        <v>10515</v>
      </c>
      <c r="BF64" s="66">
        <v>737525</v>
      </c>
      <c r="BG64" s="67">
        <v>44635</v>
      </c>
      <c r="BH64" s="66">
        <v>8752155</v>
      </c>
      <c r="BI64" s="67">
        <v>1818265</v>
      </c>
      <c r="BJ64" s="66">
        <v>181559</v>
      </c>
      <c r="BK64" s="66">
        <v>562779</v>
      </c>
      <c r="BL64" s="66">
        <v>5883598</v>
      </c>
      <c r="BM64" s="66">
        <v>122132</v>
      </c>
      <c r="BN64" s="67">
        <v>183824</v>
      </c>
      <c r="BO64" s="67">
        <v>63279512</v>
      </c>
      <c r="BP64" s="66">
        <v>46881840</v>
      </c>
      <c r="BQ64" s="66">
        <v>2910183</v>
      </c>
      <c r="BR64" s="67">
        <v>6058452</v>
      </c>
      <c r="BS64" s="67">
        <v>7429037</v>
      </c>
      <c r="BT64" s="66">
        <v>2431973</v>
      </c>
      <c r="BU64" s="66">
        <v>1673489</v>
      </c>
      <c r="BV64" s="66">
        <v>730977</v>
      </c>
      <c r="BW64" s="67">
        <v>27506</v>
      </c>
      <c r="BX64" s="66">
        <v>2331717</v>
      </c>
      <c r="BY64" s="66">
        <v>121812685</v>
      </c>
      <c r="BZ64" s="67">
        <v>1234340</v>
      </c>
      <c r="CA64" s="66">
        <v>980433</v>
      </c>
      <c r="CB64" s="67">
        <v>253907</v>
      </c>
      <c r="CC64" s="67">
        <v>789956</v>
      </c>
      <c r="CD64" s="66">
        <v>9393435</v>
      </c>
      <c r="CE64" s="66">
        <v>3415349</v>
      </c>
      <c r="CF64" s="66">
        <v>2174171</v>
      </c>
      <c r="CG64" s="66">
        <v>3803915</v>
      </c>
      <c r="CH64" s="66">
        <v>393745</v>
      </c>
      <c r="CI64" s="67">
        <v>61605</v>
      </c>
      <c r="CJ64" s="67">
        <v>332140</v>
      </c>
      <c r="CK64" s="66">
        <v>573034</v>
      </c>
      <c r="CL64" s="66">
        <v>378762</v>
      </c>
      <c r="CM64" s="66">
        <v>194272</v>
      </c>
      <c r="CN64" s="66">
        <v>545473</v>
      </c>
      <c r="CO64" s="66">
        <v>217218</v>
      </c>
      <c r="CP64" s="66">
        <v>257380</v>
      </c>
      <c r="CQ64" s="66">
        <v>70874</v>
      </c>
      <c r="CR64" s="68">
        <v>14462</v>
      </c>
    </row>
    <row r="65" spans="1:96" s="69" customFormat="1" ht="10.199999999999999" x14ac:dyDescent="0.2">
      <c r="A65" s="65" t="s">
        <v>237</v>
      </c>
      <c r="B65" s="66">
        <v>490901903</v>
      </c>
      <c r="C65" s="66">
        <v>7523472</v>
      </c>
      <c r="D65" s="66">
        <v>6830598</v>
      </c>
      <c r="E65" s="66">
        <v>164759</v>
      </c>
      <c r="F65" s="66">
        <v>528115</v>
      </c>
      <c r="G65" s="66">
        <v>8015345</v>
      </c>
      <c r="H65" s="67">
        <v>4716606</v>
      </c>
      <c r="I65" s="66">
        <v>25353462</v>
      </c>
      <c r="J65" s="67">
        <v>4901290</v>
      </c>
      <c r="K65" s="66">
        <v>5614266</v>
      </c>
      <c r="L65" s="66">
        <v>14837907</v>
      </c>
      <c r="M65" s="66">
        <v>65564547</v>
      </c>
      <c r="N65" s="66">
        <v>4543807</v>
      </c>
      <c r="O65" s="67">
        <v>1245115</v>
      </c>
      <c r="P65" s="66">
        <v>602212</v>
      </c>
      <c r="Q65" s="67">
        <v>1578109</v>
      </c>
      <c r="R65" s="67">
        <v>166190</v>
      </c>
      <c r="S65" s="66">
        <v>990201</v>
      </c>
      <c r="T65" s="66">
        <v>2132819</v>
      </c>
      <c r="U65" s="66">
        <v>2644667</v>
      </c>
      <c r="V65" s="66">
        <v>5722793</v>
      </c>
      <c r="W65" s="66">
        <v>7318885</v>
      </c>
      <c r="X65" s="67">
        <v>2620781</v>
      </c>
      <c r="Y65" s="67">
        <v>2606638</v>
      </c>
      <c r="Z65" s="67">
        <v>1661216</v>
      </c>
      <c r="AA65" s="66">
        <v>5436234</v>
      </c>
      <c r="AB65" s="66">
        <v>4622457</v>
      </c>
      <c r="AC65" s="66">
        <v>6576406</v>
      </c>
      <c r="AD65" s="66">
        <v>3039729</v>
      </c>
      <c r="AE65" s="66">
        <v>7051007</v>
      </c>
      <c r="AF65" s="67">
        <v>1354896</v>
      </c>
      <c r="AG65" s="67">
        <v>3650385</v>
      </c>
      <c r="AH65" s="67">
        <v>121380511</v>
      </c>
      <c r="AI65" s="66">
        <v>35346137</v>
      </c>
      <c r="AJ65" s="66">
        <v>20172253</v>
      </c>
      <c r="AK65" s="66">
        <v>14923813</v>
      </c>
      <c r="AL65" s="66">
        <v>250071</v>
      </c>
      <c r="AM65" s="66">
        <v>86034374</v>
      </c>
      <c r="AN65" s="66">
        <v>11002826</v>
      </c>
      <c r="AO65" s="67">
        <v>4907596</v>
      </c>
      <c r="AP65" s="66">
        <v>3623041</v>
      </c>
      <c r="AQ65" s="67">
        <v>5234847</v>
      </c>
      <c r="AR65" s="66">
        <v>11406111</v>
      </c>
      <c r="AS65" s="66">
        <v>8089440</v>
      </c>
      <c r="AT65" s="66">
        <v>3056824</v>
      </c>
      <c r="AU65" s="66">
        <v>14989774</v>
      </c>
      <c r="AV65" s="66">
        <v>5601977</v>
      </c>
      <c r="AW65" s="66">
        <v>9933936</v>
      </c>
      <c r="AX65" s="67">
        <v>6242374</v>
      </c>
      <c r="AY65" s="66">
        <v>1945627</v>
      </c>
      <c r="AZ65" s="67">
        <v>0</v>
      </c>
      <c r="BA65" s="66">
        <v>40131645</v>
      </c>
      <c r="BB65" s="66">
        <v>17064704</v>
      </c>
      <c r="BC65" s="66">
        <v>12952663</v>
      </c>
      <c r="BD65" s="66">
        <v>1352359</v>
      </c>
      <c r="BE65" s="66">
        <v>112382</v>
      </c>
      <c r="BF65" s="66">
        <v>6927063</v>
      </c>
      <c r="BG65" s="67">
        <v>1722473</v>
      </c>
      <c r="BH65" s="66">
        <v>27295177</v>
      </c>
      <c r="BI65" s="67">
        <v>5233826</v>
      </c>
      <c r="BJ65" s="66">
        <v>5539473</v>
      </c>
      <c r="BK65" s="66">
        <v>2308058</v>
      </c>
      <c r="BL65" s="66">
        <v>11497285</v>
      </c>
      <c r="BM65" s="66">
        <v>1810778</v>
      </c>
      <c r="BN65" s="67">
        <v>905757</v>
      </c>
      <c r="BO65" s="67">
        <v>27914080</v>
      </c>
      <c r="BP65" s="66">
        <v>5843408</v>
      </c>
      <c r="BQ65" s="66">
        <v>7309994</v>
      </c>
      <c r="BR65" s="67">
        <v>14670431</v>
      </c>
      <c r="BS65" s="67">
        <v>90247</v>
      </c>
      <c r="BT65" s="66">
        <v>18588176</v>
      </c>
      <c r="BU65" s="66">
        <v>10747137</v>
      </c>
      <c r="BV65" s="66">
        <v>7676042</v>
      </c>
      <c r="BW65" s="67">
        <v>164997</v>
      </c>
      <c r="BX65" s="66">
        <v>33826352</v>
      </c>
      <c r="BY65" s="66">
        <v>14180040</v>
      </c>
      <c r="BZ65" s="67">
        <v>10321261</v>
      </c>
      <c r="CA65" s="66">
        <v>8908904</v>
      </c>
      <c r="CB65" s="67">
        <v>1412356</v>
      </c>
      <c r="CC65" s="67">
        <v>3358068</v>
      </c>
      <c r="CD65" s="66">
        <v>29593458</v>
      </c>
      <c r="CE65" s="66">
        <v>19610009</v>
      </c>
      <c r="CF65" s="66">
        <v>4106079</v>
      </c>
      <c r="CG65" s="66">
        <v>5877370</v>
      </c>
      <c r="CH65" s="66">
        <v>5925099</v>
      </c>
      <c r="CI65" s="67">
        <v>1787428</v>
      </c>
      <c r="CJ65" s="67">
        <v>4137671</v>
      </c>
      <c r="CK65" s="66">
        <v>34377151</v>
      </c>
      <c r="CL65" s="66">
        <v>9298415</v>
      </c>
      <c r="CM65" s="66">
        <v>25078736</v>
      </c>
      <c r="CN65" s="66">
        <v>12833278</v>
      </c>
      <c r="CO65" s="66">
        <v>5310062</v>
      </c>
      <c r="CP65" s="66">
        <v>7265173</v>
      </c>
      <c r="CQ65" s="66">
        <v>258044</v>
      </c>
      <c r="CR65" s="68">
        <v>4174</v>
      </c>
    </row>
    <row r="66" spans="1:96" s="69" customFormat="1" ht="10.199999999999999" x14ac:dyDescent="0.2">
      <c r="A66" s="65" t="s">
        <v>238</v>
      </c>
      <c r="B66" s="66">
        <v>469131527</v>
      </c>
      <c r="C66" s="66">
        <v>2691864</v>
      </c>
      <c r="D66" s="66">
        <v>1957918</v>
      </c>
      <c r="E66" s="66">
        <v>272288</v>
      </c>
      <c r="F66" s="66">
        <v>461658</v>
      </c>
      <c r="G66" s="66">
        <v>11134119</v>
      </c>
      <c r="H66" s="67">
        <v>23048876</v>
      </c>
      <c r="I66" s="66">
        <v>20249332</v>
      </c>
      <c r="J66" s="67">
        <v>4950795</v>
      </c>
      <c r="K66" s="66">
        <v>3515319</v>
      </c>
      <c r="L66" s="66">
        <v>11783217</v>
      </c>
      <c r="M66" s="66">
        <v>103285935</v>
      </c>
      <c r="N66" s="66">
        <v>4593833</v>
      </c>
      <c r="O66" s="67">
        <v>12879923</v>
      </c>
      <c r="P66" s="66">
        <v>471197</v>
      </c>
      <c r="Q66" s="67">
        <v>1088418</v>
      </c>
      <c r="R66" s="67">
        <v>145131</v>
      </c>
      <c r="S66" s="66">
        <v>887427</v>
      </c>
      <c r="T66" s="66">
        <v>1682968</v>
      </c>
      <c r="U66" s="66">
        <v>1720748</v>
      </c>
      <c r="V66" s="66">
        <v>30592096</v>
      </c>
      <c r="W66" s="66">
        <v>10169962</v>
      </c>
      <c r="X66" s="67">
        <v>1912657</v>
      </c>
      <c r="Y66" s="67">
        <v>1741881</v>
      </c>
      <c r="Z66" s="67">
        <v>2306006</v>
      </c>
      <c r="AA66" s="66">
        <v>4402556</v>
      </c>
      <c r="AB66" s="66">
        <v>4550532</v>
      </c>
      <c r="AC66" s="66">
        <v>9256220</v>
      </c>
      <c r="AD66" s="66">
        <v>2055010</v>
      </c>
      <c r="AE66" s="66">
        <v>8378632</v>
      </c>
      <c r="AF66" s="67">
        <v>955442</v>
      </c>
      <c r="AG66" s="67">
        <v>3495294</v>
      </c>
      <c r="AH66" s="67">
        <v>84885917</v>
      </c>
      <c r="AI66" s="66">
        <v>33374977</v>
      </c>
      <c r="AJ66" s="66">
        <v>15913146</v>
      </c>
      <c r="AK66" s="66">
        <v>17270485</v>
      </c>
      <c r="AL66" s="66">
        <v>191347</v>
      </c>
      <c r="AM66" s="66">
        <v>51510887</v>
      </c>
      <c r="AN66" s="66">
        <v>8174632</v>
      </c>
      <c r="AO66" s="67">
        <v>2068397</v>
      </c>
      <c r="AP66" s="66">
        <v>1966353</v>
      </c>
      <c r="AQ66" s="67">
        <v>4705719</v>
      </c>
      <c r="AR66" s="66">
        <v>8019537</v>
      </c>
      <c r="AS66" s="66">
        <v>3488164</v>
      </c>
      <c r="AT66" s="66">
        <v>2282328</v>
      </c>
      <c r="AU66" s="66">
        <v>3927734</v>
      </c>
      <c r="AV66" s="66">
        <v>1789104</v>
      </c>
      <c r="AW66" s="66">
        <v>10806254</v>
      </c>
      <c r="AX66" s="67">
        <v>2287521</v>
      </c>
      <c r="AY66" s="66">
        <v>1995143</v>
      </c>
      <c r="AZ66" s="68">
        <v>53</v>
      </c>
      <c r="BA66" s="66">
        <v>23181359</v>
      </c>
      <c r="BB66" s="66">
        <v>7382594</v>
      </c>
      <c r="BC66" s="66">
        <v>7277263</v>
      </c>
      <c r="BD66" s="66">
        <v>978258</v>
      </c>
      <c r="BE66" s="66">
        <v>257569</v>
      </c>
      <c r="BF66" s="66">
        <v>6644124</v>
      </c>
      <c r="BG66" s="67">
        <v>641550</v>
      </c>
      <c r="BH66" s="66">
        <v>26842843</v>
      </c>
      <c r="BI66" s="67">
        <v>7820659</v>
      </c>
      <c r="BJ66" s="66">
        <v>2097719</v>
      </c>
      <c r="BK66" s="66">
        <v>2602635</v>
      </c>
      <c r="BL66" s="66">
        <v>11679009</v>
      </c>
      <c r="BM66" s="66">
        <v>1406301</v>
      </c>
      <c r="BN66" s="67">
        <v>1236521</v>
      </c>
      <c r="BO66" s="67">
        <v>45687381</v>
      </c>
      <c r="BP66" s="66">
        <v>6346017</v>
      </c>
      <c r="BQ66" s="66">
        <v>8067468</v>
      </c>
      <c r="BR66" s="67">
        <v>29532496</v>
      </c>
      <c r="BS66" s="67">
        <v>1741399</v>
      </c>
      <c r="BT66" s="66">
        <v>13670371</v>
      </c>
      <c r="BU66" s="66">
        <v>10339189</v>
      </c>
      <c r="BV66" s="66">
        <v>3224083</v>
      </c>
      <c r="BW66" s="67">
        <v>107099</v>
      </c>
      <c r="BX66" s="66">
        <v>30654137</v>
      </c>
      <c r="BY66" s="66">
        <v>15369579</v>
      </c>
      <c r="BZ66" s="67">
        <v>13755953</v>
      </c>
      <c r="CA66" s="66">
        <v>11958552</v>
      </c>
      <c r="CB66" s="67">
        <v>1797401</v>
      </c>
      <c r="CC66" s="67">
        <v>1509493</v>
      </c>
      <c r="CD66" s="66">
        <v>21991758</v>
      </c>
      <c r="CE66" s="66">
        <v>12225710</v>
      </c>
      <c r="CF66" s="66">
        <v>3726360</v>
      </c>
      <c r="CG66" s="66">
        <v>6039688</v>
      </c>
      <c r="CH66" s="66">
        <v>5649029</v>
      </c>
      <c r="CI66" s="67">
        <v>1745433</v>
      </c>
      <c r="CJ66" s="67">
        <v>3903596</v>
      </c>
      <c r="CK66" s="66">
        <v>19596805</v>
      </c>
      <c r="CL66" s="66">
        <v>6447251</v>
      </c>
      <c r="CM66" s="66">
        <v>13149555</v>
      </c>
      <c r="CN66" s="66">
        <v>5924179</v>
      </c>
      <c r="CO66" s="66">
        <v>3095109</v>
      </c>
      <c r="CP66" s="66">
        <v>2595327</v>
      </c>
      <c r="CQ66" s="66">
        <v>233743</v>
      </c>
      <c r="CR66" s="67">
        <v>2597</v>
      </c>
    </row>
    <row r="67" spans="1:96" s="69" customFormat="1" ht="10.199999999999999" x14ac:dyDescent="0.2">
      <c r="A67" s="65" t="s">
        <v>239</v>
      </c>
      <c r="B67" s="66">
        <v>1658635566</v>
      </c>
      <c r="C67" s="66">
        <v>3623915</v>
      </c>
      <c r="D67" s="66">
        <v>2711266</v>
      </c>
      <c r="E67" s="66">
        <v>577705</v>
      </c>
      <c r="F67" s="66">
        <v>334944</v>
      </c>
      <c r="G67" s="66">
        <v>15463950</v>
      </c>
      <c r="H67" s="67">
        <v>35144700</v>
      </c>
      <c r="I67" s="66">
        <v>12011352</v>
      </c>
      <c r="J67" s="67">
        <v>5065305</v>
      </c>
      <c r="K67" s="66">
        <v>3046606</v>
      </c>
      <c r="L67" s="66">
        <v>3899441</v>
      </c>
      <c r="M67" s="66">
        <v>283006837</v>
      </c>
      <c r="N67" s="66">
        <v>12360973</v>
      </c>
      <c r="O67" s="67">
        <v>5964360</v>
      </c>
      <c r="P67" s="66">
        <v>750874</v>
      </c>
      <c r="Q67" s="67">
        <v>1201626</v>
      </c>
      <c r="R67" s="67">
        <v>213550</v>
      </c>
      <c r="S67" s="66">
        <v>1145301</v>
      </c>
      <c r="T67" s="66">
        <v>6989777</v>
      </c>
      <c r="U67" s="66">
        <v>2081294</v>
      </c>
      <c r="V67" s="66">
        <v>23157041</v>
      </c>
      <c r="W67" s="66">
        <v>31392688</v>
      </c>
      <c r="X67" s="67">
        <v>3931696</v>
      </c>
      <c r="Y67" s="67">
        <v>4221862</v>
      </c>
      <c r="Z67" s="67">
        <v>6160616</v>
      </c>
      <c r="AA67" s="66">
        <v>7906096</v>
      </c>
      <c r="AB67" s="66">
        <v>11330506</v>
      </c>
      <c r="AC67" s="66">
        <v>14148788</v>
      </c>
      <c r="AD67" s="66">
        <v>94204742</v>
      </c>
      <c r="AE67" s="66">
        <v>45046185</v>
      </c>
      <c r="AF67" s="67">
        <v>848971</v>
      </c>
      <c r="AG67" s="67">
        <v>9949892</v>
      </c>
      <c r="AH67" s="67">
        <v>67695570</v>
      </c>
      <c r="AI67" s="66">
        <v>34043624</v>
      </c>
      <c r="AJ67" s="66">
        <v>15753768</v>
      </c>
      <c r="AK67" s="66">
        <v>18231553</v>
      </c>
      <c r="AL67" s="66">
        <v>58304</v>
      </c>
      <c r="AM67" s="66">
        <v>33651946</v>
      </c>
      <c r="AN67" s="66">
        <v>6117367</v>
      </c>
      <c r="AO67" s="67">
        <v>753713</v>
      </c>
      <c r="AP67" s="66">
        <v>692497</v>
      </c>
      <c r="AQ67" s="67">
        <v>2736960</v>
      </c>
      <c r="AR67" s="66">
        <v>3612526</v>
      </c>
      <c r="AS67" s="66">
        <v>2346007</v>
      </c>
      <c r="AT67" s="66">
        <v>1202330</v>
      </c>
      <c r="AU67" s="66">
        <v>1880167</v>
      </c>
      <c r="AV67" s="66">
        <v>1824847</v>
      </c>
      <c r="AW67" s="66">
        <v>6822950</v>
      </c>
      <c r="AX67" s="67">
        <v>2495944</v>
      </c>
      <c r="AY67" s="66">
        <v>3166638</v>
      </c>
      <c r="AZ67" s="67">
        <v>0</v>
      </c>
      <c r="BA67" s="66">
        <v>16950612</v>
      </c>
      <c r="BB67" s="66">
        <v>8976391</v>
      </c>
      <c r="BC67" s="66">
        <v>3097069</v>
      </c>
      <c r="BD67" s="66">
        <v>772733</v>
      </c>
      <c r="BE67" s="66">
        <v>779423</v>
      </c>
      <c r="BF67" s="66">
        <v>2570372</v>
      </c>
      <c r="BG67" s="67">
        <v>754624</v>
      </c>
      <c r="BH67" s="66">
        <v>69981028</v>
      </c>
      <c r="BI67" s="67">
        <v>16363199</v>
      </c>
      <c r="BJ67" s="66">
        <v>4053913</v>
      </c>
      <c r="BK67" s="66">
        <v>8340095</v>
      </c>
      <c r="BL67" s="66">
        <v>38483136</v>
      </c>
      <c r="BM67" s="66">
        <v>1912815</v>
      </c>
      <c r="BN67" s="67">
        <v>827871</v>
      </c>
      <c r="BO67" s="67">
        <v>670878104</v>
      </c>
      <c r="BP67" s="66">
        <v>305669904</v>
      </c>
      <c r="BQ67" s="66">
        <v>268213462</v>
      </c>
      <c r="BR67" s="67">
        <v>59390881</v>
      </c>
      <c r="BS67" s="67">
        <v>37603857</v>
      </c>
      <c r="BT67" s="66">
        <v>28019495</v>
      </c>
      <c r="BU67" s="66">
        <v>19601555</v>
      </c>
      <c r="BV67" s="66">
        <v>7928340</v>
      </c>
      <c r="BW67" s="67">
        <v>489601</v>
      </c>
      <c r="BX67" s="66">
        <v>16328653</v>
      </c>
      <c r="BY67" s="66">
        <v>395152780</v>
      </c>
      <c r="BZ67" s="67">
        <v>7738204</v>
      </c>
      <c r="CA67" s="66">
        <v>6113054</v>
      </c>
      <c r="CB67" s="67">
        <v>1625150</v>
      </c>
      <c r="CC67" s="67">
        <v>1062372</v>
      </c>
      <c r="CD67" s="66">
        <v>12329119</v>
      </c>
      <c r="CE67" s="66">
        <v>3824489</v>
      </c>
      <c r="CF67" s="66">
        <v>2007921</v>
      </c>
      <c r="CG67" s="66">
        <v>6496709</v>
      </c>
      <c r="CH67" s="66">
        <v>3665401</v>
      </c>
      <c r="CI67" s="67">
        <v>885108</v>
      </c>
      <c r="CJ67" s="67">
        <v>2780292</v>
      </c>
      <c r="CK67" s="66">
        <v>16183203</v>
      </c>
      <c r="CL67" s="66">
        <v>9682757</v>
      </c>
      <c r="CM67" s="66">
        <v>6500447</v>
      </c>
      <c r="CN67" s="66">
        <v>3399048</v>
      </c>
      <c r="CO67" s="66">
        <v>1713781</v>
      </c>
      <c r="CP67" s="66">
        <v>1569124</v>
      </c>
      <c r="CQ67" s="66">
        <v>116143</v>
      </c>
      <c r="CR67" s="68">
        <v>1222</v>
      </c>
    </row>
    <row r="68" spans="1:96" s="69" customFormat="1" ht="10.199999999999999" x14ac:dyDescent="0.2">
      <c r="A68" s="65" t="s">
        <v>240</v>
      </c>
      <c r="B68" s="66">
        <v>12447752</v>
      </c>
      <c r="C68" s="66">
        <v>80160</v>
      </c>
      <c r="D68" s="66">
        <v>75177</v>
      </c>
      <c r="E68" s="66">
        <v>690</v>
      </c>
      <c r="F68" s="66">
        <v>4293</v>
      </c>
      <c r="G68" s="66">
        <v>246776</v>
      </c>
      <c r="H68" s="67">
        <v>290464</v>
      </c>
      <c r="I68" s="66">
        <v>233606</v>
      </c>
      <c r="J68" s="67">
        <v>79566</v>
      </c>
      <c r="K68" s="66">
        <v>53097</v>
      </c>
      <c r="L68" s="66">
        <v>100944</v>
      </c>
      <c r="M68" s="66">
        <v>6010042</v>
      </c>
      <c r="N68" s="66">
        <v>466056</v>
      </c>
      <c r="O68" s="67">
        <v>143650</v>
      </c>
      <c r="P68" s="66">
        <v>17140</v>
      </c>
      <c r="Q68" s="67">
        <v>34134</v>
      </c>
      <c r="R68" s="67">
        <v>6206</v>
      </c>
      <c r="S68" s="66">
        <v>4685</v>
      </c>
      <c r="T68" s="66">
        <v>88565</v>
      </c>
      <c r="U68" s="66">
        <v>8815</v>
      </c>
      <c r="V68" s="66">
        <v>462735</v>
      </c>
      <c r="W68" s="66">
        <v>3351508</v>
      </c>
      <c r="X68" s="67">
        <v>12745</v>
      </c>
      <c r="Y68" s="67">
        <v>19498</v>
      </c>
      <c r="Z68" s="67">
        <v>97646</v>
      </c>
      <c r="AA68" s="66">
        <v>107678</v>
      </c>
      <c r="AB68" s="66">
        <v>180994</v>
      </c>
      <c r="AC68" s="66">
        <v>306038</v>
      </c>
      <c r="AD68" s="66">
        <v>217559</v>
      </c>
      <c r="AE68" s="66">
        <v>146865</v>
      </c>
      <c r="AF68" s="67">
        <v>13434</v>
      </c>
      <c r="AG68" s="67">
        <v>324091</v>
      </c>
      <c r="AH68" s="67">
        <v>1970375</v>
      </c>
      <c r="AI68" s="66">
        <v>764368</v>
      </c>
      <c r="AJ68" s="66">
        <v>271505</v>
      </c>
      <c r="AK68" s="66">
        <v>491567</v>
      </c>
      <c r="AL68" s="70">
        <v>1296</v>
      </c>
      <c r="AM68" s="66">
        <v>1206006</v>
      </c>
      <c r="AN68" s="66">
        <v>21325</v>
      </c>
      <c r="AO68" s="67">
        <v>82386</v>
      </c>
      <c r="AP68" s="66">
        <v>32990</v>
      </c>
      <c r="AQ68" s="67">
        <v>60663</v>
      </c>
      <c r="AR68" s="66">
        <v>251009</v>
      </c>
      <c r="AS68" s="66">
        <v>52019</v>
      </c>
      <c r="AT68" s="66">
        <v>10993</v>
      </c>
      <c r="AU68" s="66">
        <v>105721</v>
      </c>
      <c r="AV68" s="66">
        <v>20860</v>
      </c>
      <c r="AW68" s="66">
        <v>503037</v>
      </c>
      <c r="AX68" s="67">
        <v>23472</v>
      </c>
      <c r="AY68" s="66">
        <v>41531</v>
      </c>
      <c r="AZ68" s="67">
        <v>0</v>
      </c>
      <c r="BA68" s="66">
        <v>205569</v>
      </c>
      <c r="BB68" s="66">
        <v>101056</v>
      </c>
      <c r="BC68" s="66">
        <v>18749</v>
      </c>
      <c r="BD68" s="66">
        <v>2063</v>
      </c>
      <c r="BE68" s="66">
        <v>3853</v>
      </c>
      <c r="BF68" s="66">
        <v>74709</v>
      </c>
      <c r="BG68" s="67">
        <v>5138</v>
      </c>
      <c r="BH68" s="66">
        <v>537781</v>
      </c>
      <c r="BI68" s="67">
        <v>234696</v>
      </c>
      <c r="BJ68" s="66">
        <v>36784</v>
      </c>
      <c r="BK68" s="66">
        <v>68324</v>
      </c>
      <c r="BL68" s="66">
        <v>127438</v>
      </c>
      <c r="BM68" s="66">
        <v>12580</v>
      </c>
      <c r="BN68" s="67">
        <v>57959</v>
      </c>
      <c r="BO68" s="67">
        <v>926953</v>
      </c>
      <c r="BP68" s="66">
        <v>208238</v>
      </c>
      <c r="BQ68" s="66">
        <v>137069</v>
      </c>
      <c r="BR68" s="67">
        <v>579086</v>
      </c>
      <c r="BS68" s="67">
        <v>2560</v>
      </c>
      <c r="BT68" s="66">
        <v>112078</v>
      </c>
      <c r="BU68" s="66">
        <v>97007</v>
      </c>
      <c r="BV68" s="66">
        <v>11894</v>
      </c>
      <c r="BW68" s="67">
        <v>3177</v>
      </c>
      <c r="BX68" s="66">
        <v>255420</v>
      </c>
      <c r="BY68" s="66">
        <v>1043418</v>
      </c>
      <c r="BZ68" s="67">
        <v>73794</v>
      </c>
      <c r="CA68" s="66">
        <v>52339</v>
      </c>
      <c r="CB68" s="67">
        <v>21455</v>
      </c>
      <c r="CC68" s="67">
        <v>11329</v>
      </c>
      <c r="CD68" s="66">
        <v>164083</v>
      </c>
      <c r="CE68" s="66">
        <v>102373</v>
      </c>
      <c r="CF68" s="66">
        <v>21808</v>
      </c>
      <c r="CG68" s="66">
        <v>39903</v>
      </c>
      <c r="CH68" s="66">
        <v>39404</v>
      </c>
      <c r="CI68" s="67">
        <v>28102</v>
      </c>
      <c r="CJ68" s="67">
        <v>11302</v>
      </c>
      <c r="CK68" s="66">
        <v>208945</v>
      </c>
      <c r="CL68" s="66">
        <v>57910</v>
      </c>
      <c r="CM68" s="66">
        <v>151036</v>
      </c>
      <c r="CN68" s="66">
        <v>37373</v>
      </c>
      <c r="CO68" s="66">
        <v>14737</v>
      </c>
      <c r="CP68" s="66">
        <v>15468</v>
      </c>
      <c r="CQ68" s="66">
        <v>7167</v>
      </c>
      <c r="CR68" s="68">
        <v>181</v>
      </c>
    </row>
    <row r="69" spans="1:96" s="69" customFormat="1" ht="10.199999999999999" x14ac:dyDescent="0.2">
      <c r="A69" s="65" t="s">
        <v>241</v>
      </c>
      <c r="B69" s="66">
        <v>183749318</v>
      </c>
      <c r="C69" s="66">
        <v>346103</v>
      </c>
      <c r="D69" s="66">
        <v>281137</v>
      </c>
      <c r="E69" s="66">
        <v>26424</v>
      </c>
      <c r="F69" s="66">
        <v>38542</v>
      </c>
      <c r="G69" s="66">
        <v>6221854</v>
      </c>
      <c r="H69" s="67">
        <v>8298006</v>
      </c>
      <c r="I69" s="66">
        <v>1233426</v>
      </c>
      <c r="J69" s="67">
        <v>315986</v>
      </c>
      <c r="K69" s="66">
        <v>376185</v>
      </c>
      <c r="L69" s="66">
        <v>541255</v>
      </c>
      <c r="M69" s="66">
        <v>52731339</v>
      </c>
      <c r="N69" s="66">
        <v>2466841</v>
      </c>
      <c r="O69" s="67">
        <v>1597781</v>
      </c>
      <c r="P69" s="66">
        <v>169530</v>
      </c>
      <c r="Q69" s="67">
        <v>318234</v>
      </c>
      <c r="R69" s="67">
        <v>40183</v>
      </c>
      <c r="S69" s="66">
        <v>197854</v>
      </c>
      <c r="T69" s="66">
        <v>919232</v>
      </c>
      <c r="U69" s="66">
        <v>606450</v>
      </c>
      <c r="V69" s="66">
        <v>3511324</v>
      </c>
      <c r="W69" s="66">
        <v>9451462</v>
      </c>
      <c r="X69" s="67">
        <v>1099367</v>
      </c>
      <c r="Y69" s="67">
        <v>623385</v>
      </c>
      <c r="Z69" s="67">
        <v>1012968</v>
      </c>
      <c r="AA69" s="66">
        <v>2473379</v>
      </c>
      <c r="AB69" s="66">
        <v>2441270</v>
      </c>
      <c r="AC69" s="66">
        <v>8254325</v>
      </c>
      <c r="AD69" s="66">
        <v>5980568</v>
      </c>
      <c r="AE69" s="66">
        <v>8736130</v>
      </c>
      <c r="AF69" s="67">
        <v>260899</v>
      </c>
      <c r="AG69" s="67">
        <v>2570158</v>
      </c>
      <c r="AH69" s="67">
        <v>15415777</v>
      </c>
      <c r="AI69" s="66">
        <v>10533750</v>
      </c>
      <c r="AJ69" s="66">
        <v>5921744</v>
      </c>
      <c r="AK69" s="66">
        <v>4592310</v>
      </c>
      <c r="AL69" s="66">
        <v>19696</v>
      </c>
      <c r="AM69" s="66">
        <v>4882027</v>
      </c>
      <c r="AN69" s="66">
        <v>255723</v>
      </c>
      <c r="AO69" s="67">
        <v>130855</v>
      </c>
      <c r="AP69" s="66">
        <v>174464</v>
      </c>
      <c r="AQ69" s="67">
        <v>293048</v>
      </c>
      <c r="AR69" s="66">
        <v>681774</v>
      </c>
      <c r="AS69" s="66">
        <v>998148</v>
      </c>
      <c r="AT69" s="66">
        <v>246030</v>
      </c>
      <c r="AU69" s="66">
        <v>447356</v>
      </c>
      <c r="AV69" s="66">
        <v>238883</v>
      </c>
      <c r="AW69" s="66">
        <v>289551</v>
      </c>
      <c r="AX69" s="67">
        <v>337155</v>
      </c>
      <c r="AY69" s="66">
        <v>789039</v>
      </c>
      <c r="AZ69" s="67">
        <v>0</v>
      </c>
      <c r="BA69" s="66">
        <v>2646250</v>
      </c>
      <c r="BB69" s="66">
        <v>1259861</v>
      </c>
      <c r="BC69" s="66">
        <v>281714</v>
      </c>
      <c r="BD69" s="66">
        <v>171383</v>
      </c>
      <c r="BE69" s="66">
        <v>31643</v>
      </c>
      <c r="BF69" s="66">
        <v>748859</v>
      </c>
      <c r="BG69" s="67">
        <v>152791</v>
      </c>
      <c r="BH69" s="66">
        <v>38613682</v>
      </c>
      <c r="BI69" s="67">
        <v>7854007</v>
      </c>
      <c r="BJ69" s="66">
        <v>8320818</v>
      </c>
      <c r="BK69" s="66">
        <v>8742718</v>
      </c>
      <c r="BL69" s="66">
        <v>11758032</v>
      </c>
      <c r="BM69" s="66">
        <v>1150620</v>
      </c>
      <c r="BN69" s="67">
        <v>787488</v>
      </c>
      <c r="BO69" s="67">
        <v>27874928</v>
      </c>
      <c r="BP69" s="66">
        <v>9520065</v>
      </c>
      <c r="BQ69" s="66">
        <v>4259199</v>
      </c>
      <c r="BR69" s="67">
        <v>13768316</v>
      </c>
      <c r="BS69" s="67">
        <v>327348</v>
      </c>
      <c r="BT69" s="66">
        <v>2772983</v>
      </c>
      <c r="BU69" s="66">
        <v>1816596</v>
      </c>
      <c r="BV69" s="66">
        <v>742644</v>
      </c>
      <c r="BW69" s="67">
        <v>213743</v>
      </c>
      <c r="BX69" s="66">
        <v>7871679</v>
      </c>
      <c r="BY69" s="66">
        <v>7130475</v>
      </c>
      <c r="BZ69" s="67">
        <v>4157587</v>
      </c>
      <c r="CA69" s="66">
        <v>3317616</v>
      </c>
      <c r="CB69" s="67">
        <v>839971</v>
      </c>
      <c r="CC69" s="67">
        <v>416225</v>
      </c>
      <c r="CD69" s="66">
        <v>2897015</v>
      </c>
      <c r="CE69" s="66">
        <v>1246930</v>
      </c>
      <c r="CF69" s="66">
        <v>797190</v>
      </c>
      <c r="CG69" s="66">
        <v>852896</v>
      </c>
      <c r="CH69" s="66">
        <v>904736</v>
      </c>
      <c r="CI69" s="67">
        <v>491987</v>
      </c>
      <c r="CJ69" s="67">
        <v>412750</v>
      </c>
      <c r="CK69" s="66">
        <v>2907952</v>
      </c>
      <c r="CL69" s="66">
        <v>836796</v>
      </c>
      <c r="CM69" s="66">
        <v>2071157</v>
      </c>
      <c r="CN69" s="66">
        <v>1308794</v>
      </c>
      <c r="CO69" s="66">
        <v>478506</v>
      </c>
      <c r="CP69" s="66">
        <v>817742</v>
      </c>
      <c r="CQ69" s="66">
        <v>12546</v>
      </c>
      <c r="CR69" s="68">
        <v>505</v>
      </c>
    </row>
    <row r="70" spans="1:96" s="69" customFormat="1" ht="10.199999999999999" x14ac:dyDescent="0.2">
      <c r="A70" s="65" t="s">
        <v>242</v>
      </c>
      <c r="B70" s="66">
        <v>758553811</v>
      </c>
      <c r="C70" s="66">
        <v>8851358</v>
      </c>
      <c r="D70" s="66">
        <v>6890423</v>
      </c>
      <c r="E70" s="66">
        <v>839385</v>
      </c>
      <c r="F70" s="66">
        <v>1121549</v>
      </c>
      <c r="G70" s="66">
        <v>33013951</v>
      </c>
      <c r="H70" s="67">
        <v>53130391</v>
      </c>
      <c r="I70" s="66">
        <v>24339432</v>
      </c>
      <c r="J70" s="67">
        <v>3872743</v>
      </c>
      <c r="K70" s="66">
        <v>8399720</v>
      </c>
      <c r="L70" s="66">
        <v>12066968</v>
      </c>
      <c r="M70" s="66">
        <v>210075034</v>
      </c>
      <c r="N70" s="66">
        <v>12186437</v>
      </c>
      <c r="O70" s="67">
        <v>5377291</v>
      </c>
      <c r="P70" s="66">
        <v>1029934</v>
      </c>
      <c r="Q70" s="67">
        <v>898777</v>
      </c>
      <c r="R70" s="67">
        <v>143173</v>
      </c>
      <c r="S70" s="66">
        <v>2487533</v>
      </c>
      <c r="T70" s="66">
        <v>7609828</v>
      </c>
      <c r="U70" s="66">
        <v>3647137</v>
      </c>
      <c r="V70" s="66">
        <v>19203201</v>
      </c>
      <c r="W70" s="66">
        <v>25731212</v>
      </c>
      <c r="X70" s="67">
        <v>5926532</v>
      </c>
      <c r="Y70" s="67">
        <v>6503059</v>
      </c>
      <c r="Z70" s="67">
        <v>7664674</v>
      </c>
      <c r="AA70" s="66">
        <v>9198151</v>
      </c>
      <c r="AB70" s="66">
        <v>12074192</v>
      </c>
      <c r="AC70" s="66">
        <v>23416390</v>
      </c>
      <c r="AD70" s="66">
        <v>14255243</v>
      </c>
      <c r="AE70" s="66">
        <v>44037269</v>
      </c>
      <c r="AF70" s="67">
        <v>1205956</v>
      </c>
      <c r="AG70" s="67">
        <v>7479046</v>
      </c>
      <c r="AH70" s="67">
        <v>110208406</v>
      </c>
      <c r="AI70" s="66">
        <v>53131742</v>
      </c>
      <c r="AJ70" s="66">
        <v>31940087</v>
      </c>
      <c r="AK70" s="66">
        <v>21105066</v>
      </c>
      <c r="AL70" s="66">
        <v>86589</v>
      </c>
      <c r="AM70" s="66">
        <v>57076664</v>
      </c>
      <c r="AN70" s="66">
        <v>5526728</v>
      </c>
      <c r="AO70" s="67">
        <v>1344166</v>
      </c>
      <c r="AP70" s="66">
        <v>1446022</v>
      </c>
      <c r="AQ70" s="67">
        <v>5527604</v>
      </c>
      <c r="AR70" s="66">
        <v>10129410</v>
      </c>
      <c r="AS70" s="66">
        <v>3740067</v>
      </c>
      <c r="AT70" s="66">
        <v>3372385</v>
      </c>
      <c r="AU70" s="66">
        <v>5872135</v>
      </c>
      <c r="AV70" s="66">
        <v>1914788</v>
      </c>
      <c r="AW70" s="66">
        <v>13597906</v>
      </c>
      <c r="AX70" s="67">
        <v>2064225</v>
      </c>
      <c r="AY70" s="66">
        <v>2541227</v>
      </c>
      <c r="AZ70" s="67">
        <v>0</v>
      </c>
      <c r="BA70" s="66">
        <v>42863082</v>
      </c>
      <c r="BB70" s="66">
        <v>20073346</v>
      </c>
      <c r="BC70" s="66">
        <v>11581357</v>
      </c>
      <c r="BD70" s="66">
        <v>1894531</v>
      </c>
      <c r="BE70" s="66">
        <v>674627</v>
      </c>
      <c r="BF70" s="66">
        <v>7581086</v>
      </c>
      <c r="BG70" s="67">
        <v>1058135</v>
      </c>
      <c r="BH70" s="66">
        <v>82472051</v>
      </c>
      <c r="BI70" s="67">
        <v>8652783</v>
      </c>
      <c r="BJ70" s="66">
        <v>5697556</v>
      </c>
      <c r="BK70" s="66">
        <v>6642578</v>
      </c>
      <c r="BL70" s="66">
        <v>56787764</v>
      </c>
      <c r="BM70" s="66">
        <v>2651971</v>
      </c>
      <c r="BN70" s="67">
        <v>2039399</v>
      </c>
      <c r="BO70" s="67">
        <v>40021511</v>
      </c>
      <c r="BP70" s="66">
        <v>15628974</v>
      </c>
      <c r="BQ70" s="66">
        <v>5753577</v>
      </c>
      <c r="BR70" s="67">
        <v>17977509</v>
      </c>
      <c r="BS70" s="67">
        <v>661452</v>
      </c>
      <c r="BT70" s="66">
        <v>48287213</v>
      </c>
      <c r="BU70" s="66">
        <v>14622154</v>
      </c>
      <c r="BV70" s="66">
        <v>33475050</v>
      </c>
      <c r="BW70" s="67">
        <v>190008</v>
      </c>
      <c r="BX70" s="66">
        <v>16921744</v>
      </c>
      <c r="BY70" s="66">
        <v>35135532</v>
      </c>
      <c r="BZ70" s="67">
        <v>10494582</v>
      </c>
      <c r="CA70" s="66">
        <v>6418732</v>
      </c>
      <c r="CB70" s="67">
        <v>4075850</v>
      </c>
      <c r="CC70" s="67">
        <v>1261804</v>
      </c>
      <c r="CD70" s="66">
        <v>13050174</v>
      </c>
      <c r="CE70" s="66">
        <v>6318616</v>
      </c>
      <c r="CF70" s="66">
        <v>2577442</v>
      </c>
      <c r="CG70" s="66">
        <v>4154116</v>
      </c>
      <c r="CH70" s="66">
        <v>5233204</v>
      </c>
      <c r="CI70" s="67">
        <v>1244748</v>
      </c>
      <c r="CJ70" s="67">
        <v>3988456</v>
      </c>
      <c r="CK70" s="66">
        <v>17784889</v>
      </c>
      <c r="CL70" s="66">
        <v>6780043</v>
      </c>
      <c r="CM70" s="66">
        <v>11004846</v>
      </c>
      <c r="CN70" s="66">
        <v>5403545</v>
      </c>
      <c r="CO70" s="66">
        <v>2227657</v>
      </c>
      <c r="CP70" s="66">
        <v>2936137</v>
      </c>
      <c r="CQ70" s="66">
        <v>239751</v>
      </c>
      <c r="CR70" s="68">
        <v>5910</v>
      </c>
    </row>
    <row r="71" spans="1:96" s="69" customFormat="1" ht="10.199999999999999" x14ac:dyDescent="0.2">
      <c r="A71" s="65" t="s">
        <v>243</v>
      </c>
      <c r="B71" s="66">
        <v>21515332</v>
      </c>
      <c r="C71" s="66">
        <v>74003</v>
      </c>
      <c r="D71" s="66">
        <v>31764</v>
      </c>
      <c r="E71" s="66">
        <v>41645</v>
      </c>
      <c r="F71" s="70">
        <v>594</v>
      </c>
      <c r="G71" s="66">
        <v>14174289</v>
      </c>
      <c r="H71" s="67">
        <v>429651</v>
      </c>
      <c r="I71" s="66">
        <v>148862</v>
      </c>
      <c r="J71" s="67">
        <v>6477</v>
      </c>
      <c r="K71" s="66">
        <v>129992</v>
      </c>
      <c r="L71" s="66">
        <v>12394</v>
      </c>
      <c r="M71" s="66">
        <v>5097443</v>
      </c>
      <c r="N71" s="66">
        <v>29196</v>
      </c>
      <c r="O71" s="67">
        <v>13362</v>
      </c>
      <c r="P71" s="66">
        <v>0</v>
      </c>
      <c r="Q71" s="67">
        <v>0</v>
      </c>
      <c r="R71" s="67">
        <v>0</v>
      </c>
      <c r="S71" s="66">
        <v>118431</v>
      </c>
      <c r="T71" s="66">
        <v>49779</v>
      </c>
      <c r="U71" s="70">
        <v>80</v>
      </c>
      <c r="V71" s="66">
        <v>3093042</v>
      </c>
      <c r="W71" s="66">
        <v>509742</v>
      </c>
      <c r="X71" s="67">
        <v>203</v>
      </c>
      <c r="Y71" s="67">
        <v>426620</v>
      </c>
      <c r="Z71" s="67">
        <v>819643</v>
      </c>
      <c r="AA71" s="70">
        <v>6538</v>
      </c>
      <c r="AB71" s="70">
        <v>21042</v>
      </c>
      <c r="AC71" s="66">
        <v>1955</v>
      </c>
      <c r="AD71" s="66">
        <v>3720</v>
      </c>
      <c r="AE71" s="66">
        <v>3565</v>
      </c>
      <c r="AF71" s="67">
        <v>0</v>
      </c>
      <c r="AG71" s="68">
        <v>523</v>
      </c>
      <c r="AH71" s="67">
        <v>1004027</v>
      </c>
      <c r="AI71" s="66">
        <v>989135</v>
      </c>
      <c r="AJ71" s="66">
        <v>264861</v>
      </c>
      <c r="AK71" s="66">
        <v>724274</v>
      </c>
      <c r="AL71" s="66">
        <v>0</v>
      </c>
      <c r="AM71" s="66">
        <v>14892</v>
      </c>
      <c r="AN71" s="70">
        <v>338</v>
      </c>
      <c r="AO71" s="67">
        <v>0</v>
      </c>
      <c r="AP71" s="66">
        <v>0</v>
      </c>
      <c r="AQ71" s="68">
        <v>9279</v>
      </c>
      <c r="AR71" s="70">
        <v>1683</v>
      </c>
      <c r="AS71" s="66">
        <v>0</v>
      </c>
      <c r="AT71" s="70">
        <v>3261</v>
      </c>
      <c r="AU71" s="70">
        <v>214</v>
      </c>
      <c r="AV71" s="66">
        <v>0</v>
      </c>
      <c r="AW71" s="66">
        <v>8</v>
      </c>
      <c r="AX71" s="67">
        <v>0</v>
      </c>
      <c r="AY71" s="70">
        <v>110</v>
      </c>
      <c r="AZ71" s="67">
        <v>0</v>
      </c>
      <c r="BA71" s="66">
        <v>21508</v>
      </c>
      <c r="BB71" s="70">
        <v>10331</v>
      </c>
      <c r="BC71" s="70">
        <v>5715</v>
      </c>
      <c r="BD71" s="66">
        <v>0</v>
      </c>
      <c r="BE71" s="70">
        <v>4758</v>
      </c>
      <c r="BF71" s="66">
        <v>205</v>
      </c>
      <c r="BG71" s="68">
        <v>498</v>
      </c>
      <c r="BH71" s="70">
        <v>3809</v>
      </c>
      <c r="BI71" s="67">
        <v>154</v>
      </c>
      <c r="BJ71" s="70">
        <v>385</v>
      </c>
      <c r="BK71" s="70">
        <v>67</v>
      </c>
      <c r="BL71" s="66">
        <v>3203</v>
      </c>
      <c r="BM71" s="66">
        <v>0</v>
      </c>
      <c r="BN71" s="67">
        <v>0</v>
      </c>
      <c r="BO71" s="67">
        <v>201212</v>
      </c>
      <c r="BP71" s="66">
        <v>4259</v>
      </c>
      <c r="BQ71" s="66">
        <v>41977</v>
      </c>
      <c r="BR71" s="67">
        <v>105188</v>
      </c>
      <c r="BS71" s="67">
        <v>49787</v>
      </c>
      <c r="BT71" s="66">
        <v>70615</v>
      </c>
      <c r="BU71" s="66">
        <v>69835</v>
      </c>
      <c r="BV71" s="70">
        <v>780</v>
      </c>
      <c r="BW71" s="67">
        <v>0</v>
      </c>
      <c r="BX71" s="66">
        <v>65760</v>
      </c>
      <c r="BY71" s="66">
        <v>93240</v>
      </c>
      <c r="BZ71" s="67">
        <v>125433</v>
      </c>
      <c r="CA71" s="70">
        <v>13031</v>
      </c>
      <c r="CB71" s="68">
        <v>112402</v>
      </c>
      <c r="CC71" s="67">
        <v>0</v>
      </c>
      <c r="CD71" s="70">
        <v>131</v>
      </c>
      <c r="CE71" s="66">
        <v>1</v>
      </c>
      <c r="CF71" s="66">
        <v>0</v>
      </c>
      <c r="CG71" s="70">
        <v>130</v>
      </c>
      <c r="CH71" s="70">
        <v>3740</v>
      </c>
      <c r="CI71" s="67">
        <v>323</v>
      </c>
      <c r="CJ71" s="68">
        <v>3417</v>
      </c>
      <c r="CK71" s="70">
        <v>135</v>
      </c>
      <c r="CL71" s="66">
        <v>123</v>
      </c>
      <c r="CM71" s="70">
        <v>13</v>
      </c>
      <c r="CN71" s="70">
        <v>1473</v>
      </c>
      <c r="CO71" s="66">
        <v>0</v>
      </c>
      <c r="CP71" s="70">
        <v>469</v>
      </c>
      <c r="CQ71" s="70">
        <v>1004</v>
      </c>
      <c r="CR71" s="67">
        <v>0</v>
      </c>
    </row>
    <row r="72" spans="1:96" s="69" customFormat="1" ht="10.199999999999999" x14ac:dyDescent="0.2">
      <c r="A72" s="65" t="s">
        <v>244</v>
      </c>
      <c r="B72" s="66">
        <v>266795558</v>
      </c>
      <c r="C72" s="66">
        <v>426389</v>
      </c>
      <c r="D72" s="66">
        <v>345777</v>
      </c>
      <c r="E72" s="66">
        <v>13225</v>
      </c>
      <c r="F72" s="66">
        <v>67387</v>
      </c>
      <c r="G72" s="66">
        <v>348855</v>
      </c>
      <c r="H72" s="67">
        <v>662730</v>
      </c>
      <c r="I72" s="66">
        <v>5124729</v>
      </c>
      <c r="J72" s="67">
        <v>1772413</v>
      </c>
      <c r="K72" s="66">
        <v>449502</v>
      </c>
      <c r="L72" s="66">
        <v>2902814</v>
      </c>
      <c r="M72" s="66">
        <v>82804650</v>
      </c>
      <c r="N72" s="66">
        <v>15184241</v>
      </c>
      <c r="O72" s="67">
        <v>7574973</v>
      </c>
      <c r="P72" s="66">
        <v>216063</v>
      </c>
      <c r="Q72" s="67">
        <v>1443070</v>
      </c>
      <c r="R72" s="67">
        <v>268470</v>
      </c>
      <c r="S72" s="66">
        <v>418876</v>
      </c>
      <c r="T72" s="66">
        <v>750870</v>
      </c>
      <c r="U72" s="66">
        <v>788226</v>
      </c>
      <c r="V72" s="66">
        <v>1234408</v>
      </c>
      <c r="W72" s="66">
        <v>23423645</v>
      </c>
      <c r="X72" s="67">
        <v>1131154</v>
      </c>
      <c r="Y72" s="67">
        <v>533724</v>
      </c>
      <c r="Z72" s="67">
        <v>239465</v>
      </c>
      <c r="AA72" s="66">
        <v>2227639</v>
      </c>
      <c r="AB72" s="66">
        <v>2322789</v>
      </c>
      <c r="AC72" s="66">
        <v>8405624</v>
      </c>
      <c r="AD72" s="66">
        <v>3627502</v>
      </c>
      <c r="AE72" s="66">
        <v>8544037</v>
      </c>
      <c r="AF72" s="67">
        <v>1233989</v>
      </c>
      <c r="AG72" s="67">
        <v>3235886</v>
      </c>
      <c r="AH72" s="67">
        <v>74391879</v>
      </c>
      <c r="AI72" s="66">
        <v>28863303</v>
      </c>
      <c r="AJ72" s="66">
        <v>17602969</v>
      </c>
      <c r="AK72" s="66">
        <v>11238215</v>
      </c>
      <c r="AL72" s="66">
        <v>22119</v>
      </c>
      <c r="AM72" s="66">
        <v>45528576</v>
      </c>
      <c r="AN72" s="66">
        <v>8269556</v>
      </c>
      <c r="AO72" s="67">
        <v>3318986</v>
      </c>
      <c r="AP72" s="66">
        <v>2385135</v>
      </c>
      <c r="AQ72" s="67">
        <v>3105579</v>
      </c>
      <c r="AR72" s="66">
        <v>3569339</v>
      </c>
      <c r="AS72" s="66">
        <v>2430681</v>
      </c>
      <c r="AT72" s="66">
        <v>297203</v>
      </c>
      <c r="AU72" s="66">
        <v>4552007</v>
      </c>
      <c r="AV72" s="66">
        <v>2063814</v>
      </c>
      <c r="AW72" s="66">
        <v>8636945</v>
      </c>
      <c r="AX72" s="67">
        <v>2287537</v>
      </c>
      <c r="AY72" s="66">
        <v>4611794</v>
      </c>
      <c r="AZ72" s="67">
        <v>0</v>
      </c>
      <c r="BA72" s="66">
        <v>2850030</v>
      </c>
      <c r="BB72" s="66">
        <v>1201583</v>
      </c>
      <c r="BC72" s="66">
        <v>581770</v>
      </c>
      <c r="BD72" s="66">
        <v>136542</v>
      </c>
      <c r="BE72" s="70">
        <v>4746</v>
      </c>
      <c r="BF72" s="66">
        <v>868185</v>
      </c>
      <c r="BG72" s="67">
        <v>57203</v>
      </c>
      <c r="BH72" s="66">
        <v>28168107</v>
      </c>
      <c r="BI72" s="67">
        <v>8572006</v>
      </c>
      <c r="BJ72" s="66">
        <v>3468540</v>
      </c>
      <c r="BK72" s="66">
        <v>3794106</v>
      </c>
      <c r="BL72" s="66">
        <v>10850165</v>
      </c>
      <c r="BM72" s="66">
        <v>400952</v>
      </c>
      <c r="BN72" s="67">
        <v>1082339</v>
      </c>
      <c r="BO72" s="67">
        <v>18759085</v>
      </c>
      <c r="BP72" s="66">
        <v>6809001</v>
      </c>
      <c r="BQ72" s="66">
        <v>2566780</v>
      </c>
      <c r="BR72" s="67">
        <v>9350326</v>
      </c>
      <c r="BS72" s="67">
        <v>32979</v>
      </c>
      <c r="BT72" s="66">
        <v>4887894</v>
      </c>
      <c r="BU72" s="66">
        <v>3234629</v>
      </c>
      <c r="BV72" s="66">
        <v>1550455</v>
      </c>
      <c r="BW72" s="67">
        <v>102810</v>
      </c>
      <c r="BX72" s="66">
        <v>10218199</v>
      </c>
      <c r="BY72" s="66">
        <v>10072946</v>
      </c>
      <c r="BZ72" s="67">
        <v>5156026</v>
      </c>
      <c r="CA72" s="66">
        <v>4873955</v>
      </c>
      <c r="CB72" s="67">
        <v>282072</v>
      </c>
      <c r="CC72" s="67">
        <v>2525192</v>
      </c>
      <c r="CD72" s="66">
        <v>4305500</v>
      </c>
      <c r="CE72" s="66">
        <v>3227501</v>
      </c>
      <c r="CF72" s="66">
        <v>573167</v>
      </c>
      <c r="CG72" s="66">
        <v>504832</v>
      </c>
      <c r="CH72" s="66">
        <v>2281180</v>
      </c>
      <c r="CI72" s="67">
        <v>1007695</v>
      </c>
      <c r="CJ72" s="67">
        <v>1273485</v>
      </c>
      <c r="CK72" s="66">
        <v>11121706</v>
      </c>
      <c r="CL72" s="66">
        <v>3112459</v>
      </c>
      <c r="CM72" s="66">
        <v>8009247</v>
      </c>
      <c r="CN72" s="66">
        <v>2687952</v>
      </c>
      <c r="CO72" s="66">
        <v>1279877</v>
      </c>
      <c r="CP72" s="66">
        <v>1340620</v>
      </c>
      <c r="CQ72" s="66">
        <v>67454</v>
      </c>
      <c r="CR72" s="68">
        <v>2510</v>
      </c>
    </row>
    <row r="73" spans="1:96" s="69" customFormat="1" ht="10.199999999999999" x14ac:dyDescent="0.2">
      <c r="A73" s="65" t="s">
        <v>288</v>
      </c>
      <c r="B73" s="66">
        <v>162825732</v>
      </c>
      <c r="C73" s="66">
        <v>271800</v>
      </c>
      <c r="D73" s="66">
        <v>183448</v>
      </c>
      <c r="E73" s="66">
        <v>54011</v>
      </c>
      <c r="F73" s="66">
        <v>34341</v>
      </c>
      <c r="G73" s="66">
        <v>2456145</v>
      </c>
      <c r="H73" s="67">
        <v>6816343</v>
      </c>
      <c r="I73" s="66">
        <v>5036010</v>
      </c>
      <c r="J73" s="67">
        <v>1169231</v>
      </c>
      <c r="K73" s="66">
        <v>921343</v>
      </c>
      <c r="L73" s="66">
        <v>2945437</v>
      </c>
      <c r="M73" s="66">
        <v>61756945</v>
      </c>
      <c r="N73" s="66">
        <v>3979694</v>
      </c>
      <c r="O73" s="67">
        <v>1766960</v>
      </c>
      <c r="P73" s="66">
        <v>188545</v>
      </c>
      <c r="Q73" s="67">
        <v>201503</v>
      </c>
      <c r="R73" s="67">
        <v>51868</v>
      </c>
      <c r="S73" s="66">
        <v>249355</v>
      </c>
      <c r="T73" s="66">
        <v>2271106</v>
      </c>
      <c r="U73" s="66">
        <v>362565</v>
      </c>
      <c r="V73" s="66">
        <v>7709640</v>
      </c>
      <c r="W73" s="66">
        <v>11852749</v>
      </c>
      <c r="X73" s="67">
        <v>1343183</v>
      </c>
      <c r="Y73" s="67">
        <v>858378</v>
      </c>
      <c r="Z73" s="67">
        <v>2824647</v>
      </c>
      <c r="AA73" s="66">
        <v>2297505</v>
      </c>
      <c r="AB73" s="66">
        <v>4290065</v>
      </c>
      <c r="AC73" s="66">
        <v>4776184</v>
      </c>
      <c r="AD73" s="66">
        <v>2058996</v>
      </c>
      <c r="AE73" s="66">
        <v>12673002</v>
      </c>
      <c r="AF73" s="67">
        <v>274354</v>
      </c>
      <c r="AG73" s="67">
        <v>1726645</v>
      </c>
      <c r="AH73" s="67">
        <v>17702489</v>
      </c>
      <c r="AI73" s="66">
        <v>9146289</v>
      </c>
      <c r="AJ73" s="66">
        <v>4796695</v>
      </c>
      <c r="AK73" s="66">
        <v>4265255</v>
      </c>
      <c r="AL73" s="66">
        <v>84339</v>
      </c>
      <c r="AM73" s="66">
        <v>8556200</v>
      </c>
      <c r="AN73" s="66">
        <v>515430</v>
      </c>
      <c r="AO73" s="67">
        <v>109806</v>
      </c>
      <c r="AP73" s="66">
        <v>200662</v>
      </c>
      <c r="AQ73" s="67">
        <v>548981</v>
      </c>
      <c r="AR73" s="66">
        <v>2146501</v>
      </c>
      <c r="AS73" s="66">
        <v>787577</v>
      </c>
      <c r="AT73" s="66">
        <v>109726</v>
      </c>
      <c r="AU73" s="66">
        <v>403703</v>
      </c>
      <c r="AV73" s="66">
        <v>129969</v>
      </c>
      <c r="AW73" s="66">
        <v>3109906</v>
      </c>
      <c r="AX73" s="67">
        <v>189963</v>
      </c>
      <c r="AY73" s="66">
        <v>303976</v>
      </c>
      <c r="AZ73" s="67">
        <v>0</v>
      </c>
      <c r="BA73" s="66">
        <v>7741646</v>
      </c>
      <c r="BB73" s="66">
        <v>3289933</v>
      </c>
      <c r="BC73" s="66">
        <v>865402</v>
      </c>
      <c r="BD73" s="66">
        <v>87912</v>
      </c>
      <c r="BE73" s="66">
        <v>33240</v>
      </c>
      <c r="BF73" s="66">
        <v>3362525</v>
      </c>
      <c r="BG73" s="67">
        <v>102635</v>
      </c>
      <c r="BH73" s="66">
        <v>7295065</v>
      </c>
      <c r="BI73" s="67">
        <v>1863255</v>
      </c>
      <c r="BJ73" s="66">
        <v>504384</v>
      </c>
      <c r="BK73" s="66">
        <v>889573</v>
      </c>
      <c r="BL73" s="66">
        <v>3347090</v>
      </c>
      <c r="BM73" s="66">
        <v>412540</v>
      </c>
      <c r="BN73" s="67">
        <v>278223</v>
      </c>
      <c r="BO73" s="67">
        <v>15129486</v>
      </c>
      <c r="BP73" s="66">
        <v>2288657</v>
      </c>
      <c r="BQ73" s="66">
        <v>3974331</v>
      </c>
      <c r="BR73" s="67">
        <v>8859811</v>
      </c>
      <c r="BS73" s="67">
        <v>6687</v>
      </c>
      <c r="BT73" s="66">
        <v>1379913</v>
      </c>
      <c r="BU73" s="66">
        <v>907606</v>
      </c>
      <c r="BV73" s="66">
        <v>438422</v>
      </c>
      <c r="BW73" s="67">
        <v>33884</v>
      </c>
      <c r="BX73" s="66">
        <v>11524280</v>
      </c>
      <c r="BY73" s="66">
        <v>9880762</v>
      </c>
      <c r="BZ73" s="67">
        <v>1957919</v>
      </c>
      <c r="CA73" s="66">
        <v>1705923</v>
      </c>
      <c r="CB73" s="67">
        <v>251996</v>
      </c>
      <c r="CC73" s="67">
        <v>207069</v>
      </c>
      <c r="CD73" s="66">
        <v>10960367</v>
      </c>
      <c r="CE73" s="66">
        <v>9868938</v>
      </c>
      <c r="CF73" s="66">
        <v>453148</v>
      </c>
      <c r="CG73" s="66">
        <v>638281</v>
      </c>
      <c r="CH73" s="66">
        <v>760961</v>
      </c>
      <c r="CI73" s="67">
        <v>626620</v>
      </c>
      <c r="CJ73" s="67">
        <v>134341</v>
      </c>
      <c r="CK73" s="66">
        <v>1327798</v>
      </c>
      <c r="CL73" s="66">
        <v>561627</v>
      </c>
      <c r="CM73" s="66">
        <v>766172</v>
      </c>
      <c r="CN73" s="66">
        <v>620734</v>
      </c>
      <c r="CO73" s="66">
        <v>243646</v>
      </c>
      <c r="CP73" s="66">
        <v>331381</v>
      </c>
      <c r="CQ73" s="66">
        <v>45706</v>
      </c>
      <c r="CR73" s="67">
        <v>0</v>
      </c>
    </row>
    <row r="74" spans="1:96" s="69" customFormat="1" ht="10.199999999999999" x14ac:dyDescent="0.2">
      <c r="A74" s="65" t="s">
        <v>245</v>
      </c>
      <c r="B74" s="66">
        <v>332106413</v>
      </c>
      <c r="C74" s="66">
        <v>1461291</v>
      </c>
      <c r="D74" s="66">
        <v>1138581</v>
      </c>
      <c r="E74" s="66">
        <v>162988</v>
      </c>
      <c r="F74" s="66">
        <v>159723</v>
      </c>
      <c r="G74" s="66">
        <v>4467073</v>
      </c>
      <c r="H74" s="67">
        <v>7540873</v>
      </c>
      <c r="I74" s="66">
        <v>16094921</v>
      </c>
      <c r="J74" s="67">
        <v>3327084</v>
      </c>
      <c r="K74" s="66">
        <v>2239747</v>
      </c>
      <c r="L74" s="66">
        <v>10528089</v>
      </c>
      <c r="M74" s="66">
        <v>104215576</v>
      </c>
      <c r="N74" s="66">
        <v>6051857</v>
      </c>
      <c r="O74" s="67">
        <v>2534123</v>
      </c>
      <c r="P74" s="66">
        <v>639020</v>
      </c>
      <c r="Q74" s="67">
        <v>735903</v>
      </c>
      <c r="R74" s="67">
        <v>74506</v>
      </c>
      <c r="S74" s="66">
        <v>956648</v>
      </c>
      <c r="T74" s="66">
        <v>3326841</v>
      </c>
      <c r="U74" s="66">
        <v>1505885</v>
      </c>
      <c r="V74" s="66">
        <v>3632742</v>
      </c>
      <c r="W74" s="66">
        <v>18048147</v>
      </c>
      <c r="X74" s="67">
        <v>4482183</v>
      </c>
      <c r="Y74" s="67">
        <v>2527584</v>
      </c>
      <c r="Z74" s="67">
        <v>3727321</v>
      </c>
      <c r="AA74" s="66">
        <v>6351879</v>
      </c>
      <c r="AB74" s="66">
        <v>8648741</v>
      </c>
      <c r="AC74" s="66">
        <v>12351791</v>
      </c>
      <c r="AD74" s="66">
        <v>4941963</v>
      </c>
      <c r="AE74" s="66">
        <v>16511864</v>
      </c>
      <c r="AF74" s="67">
        <v>1280952</v>
      </c>
      <c r="AG74" s="67">
        <v>5885628</v>
      </c>
      <c r="AH74" s="67">
        <v>48026042</v>
      </c>
      <c r="AI74" s="66">
        <v>21992428</v>
      </c>
      <c r="AJ74" s="66">
        <v>11789135</v>
      </c>
      <c r="AK74" s="66">
        <v>10072066</v>
      </c>
      <c r="AL74" s="66">
        <v>131227</v>
      </c>
      <c r="AM74" s="66">
        <v>26033614</v>
      </c>
      <c r="AN74" s="66">
        <v>3947401</v>
      </c>
      <c r="AO74" s="67">
        <v>780857</v>
      </c>
      <c r="AP74" s="66">
        <v>675517</v>
      </c>
      <c r="AQ74" s="67">
        <v>2544076</v>
      </c>
      <c r="AR74" s="66">
        <v>5720038</v>
      </c>
      <c r="AS74" s="66">
        <v>1526884</v>
      </c>
      <c r="AT74" s="66">
        <v>378108</v>
      </c>
      <c r="AU74" s="66">
        <v>2184236</v>
      </c>
      <c r="AV74" s="66">
        <v>597664</v>
      </c>
      <c r="AW74" s="66">
        <v>5270721</v>
      </c>
      <c r="AX74" s="67">
        <v>1091529</v>
      </c>
      <c r="AY74" s="66">
        <v>1316582</v>
      </c>
      <c r="AZ74" s="67">
        <v>0</v>
      </c>
      <c r="BA74" s="66">
        <v>22624143</v>
      </c>
      <c r="BB74" s="66">
        <v>7224150</v>
      </c>
      <c r="BC74" s="66">
        <v>5767950</v>
      </c>
      <c r="BD74" s="66">
        <v>423149</v>
      </c>
      <c r="BE74" s="66">
        <v>62533</v>
      </c>
      <c r="BF74" s="66">
        <v>8728597</v>
      </c>
      <c r="BG74" s="67">
        <v>417763</v>
      </c>
      <c r="BH74" s="66">
        <v>20985401</v>
      </c>
      <c r="BI74" s="67">
        <v>7234118</v>
      </c>
      <c r="BJ74" s="66">
        <v>863066</v>
      </c>
      <c r="BK74" s="66">
        <v>2880332</v>
      </c>
      <c r="BL74" s="66">
        <v>8220792</v>
      </c>
      <c r="BM74" s="66">
        <v>974281</v>
      </c>
      <c r="BN74" s="67">
        <v>812812</v>
      </c>
      <c r="BO74" s="67">
        <v>25825435</v>
      </c>
      <c r="BP74" s="66">
        <v>4411426</v>
      </c>
      <c r="BQ74" s="66">
        <v>6154995</v>
      </c>
      <c r="BR74" s="67">
        <v>15239613</v>
      </c>
      <c r="BS74" s="67">
        <v>19400</v>
      </c>
      <c r="BT74" s="66">
        <v>3981157</v>
      </c>
      <c r="BU74" s="66">
        <v>2148878</v>
      </c>
      <c r="BV74" s="66">
        <v>1756725</v>
      </c>
      <c r="BW74" s="67">
        <v>75555</v>
      </c>
      <c r="BX74" s="66">
        <v>21089956</v>
      </c>
      <c r="BY74" s="66">
        <v>17409034</v>
      </c>
      <c r="BZ74" s="67">
        <v>9711865</v>
      </c>
      <c r="CA74" s="66">
        <v>8432803</v>
      </c>
      <c r="CB74" s="67">
        <v>1279063</v>
      </c>
      <c r="CC74" s="67">
        <v>1034252</v>
      </c>
      <c r="CD74" s="66">
        <v>16675798</v>
      </c>
      <c r="CE74" s="66">
        <v>8801046</v>
      </c>
      <c r="CF74" s="66">
        <v>2304877</v>
      </c>
      <c r="CG74" s="66">
        <v>5569875</v>
      </c>
      <c r="CH74" s="66">
        <v>1298002</v>
      </c>
      <c r="CI74" s="67">
        <v>513523</v>
      </c>
      <c r="CJ74" s="67">
        <v>784479</v>
      </c>
      <c r="CK74" s="66">
        <v>7049041</v>
      </c>
      <c r="CL74" s="66">
        <v>2525146</v>
      </c>
      <c r="CM74" s="66">
        <v>4523895</v>
      </c>
      <c r="CN74" s="66">
        <v>2614988</v>
      </c>
      <c r="CO74" s="66">
        <v>1344589</v>
      </c>
      <c r="CP74" s="66">
        <v>1114017</v>
      </c>
      <c r="CQ74" s="66">
        <v>156383</v>
      </c>
      <c r="CR74" s="68">
        <v>1565</v>
      </c>
    </row>
    <row r="75" spans="1:96" s="69" customFormat="1" ht="10.199999999999999" x14ac:dyDescent="0.2">
      <c r="A75" s="65" t="s">
        <v>286</v>
      </c>
      <c r="B75" s="66">
        <v>18424096</v>
      </c>
      <c r="C75" s="66">
        <v>116616</v>
      </c>
      <c r="D75" s="66">
        <v>111803</v>
      </c>
      <c r="E75" s="70">
        <v>780</v>
      </c>
      <c r="F75" s="66">
        <v>4032</v>
      </c>
      <c r="G75" s="66">
        <v>1285397</v>
      </c>
      <c r="H75" s="67">
        <v>606208</v>
      </c>
      <c r="I75" s="66">
        <v>482310</v>
      </c>
      <c r="J75" s="67">
        <v>133694</v>
      </c>
      <c r="K75" s="66">
        <v>167802</v>
      </c>
      <c r="L75" s="66">
        <v>180814</v>
      </c>
      <c r="M75" s="66">
        <v>12158566</v>
      </c>
      <c r="N75" s="66">
        <v>789470</v>
      </c>
      <c r="O75" s="67">
        <v>699302</v>
      </c>
      <c r="P75" s="66">
        <v>14825</v>
      </c>
      <c r="Q75" s="67">
        <v>14159</v>
      </c>
      <c r="R75" s="67">
        <v>2055</v>
      </c>
      <c r="S75" s="66">
        <v>12190</v>
      </c>
      <c r="T75" s="66">
        <v>300317</v>
      </c>
      <c r="U75" s="66">
        <v>35110</v>
      </c>
      <c r="V75" s="66">
        <v>2452729</v>
      </c>
      <c r="W75" s="66">
        <v>2067061</v>
      </c>
      <c r="X75" s="67">
        <v>74383</v>
      </c>
      <c r="Y75" s="67">
        <v>87322</v>
      </c>
      <c r="Z75" s="67">
        <v>677254</v>
      </c>
      <c r="AA75" s="66">
        <v>448678</v>
      </c>
      <c r="AB75" s="66">
        <v>782262</v>
      </c>
      <c r="AC75" s="66">
        <v>1770484</v>
      </c>
      <c r="AD75" s="66">
        <v>522377</v>
      </c>
      <c r="AE75" s="66">
        <v>863582</v>
      </c>
      <c r="AF75" s="67">
        <v>23149</v>
      </c>
      <c r="AG75" s="67">
        <v>521859</v>
      </c>
      <c r="AH75" s="67">
        <v>995972</v>
      </c>
      <c r="AI75" s="66">
        <v>810858</v>
      </c>
      <c r="AJ75" s="66">
        <v>204693</v>
      </c>
      <c r="AK75" s="66">
        <v>606166</v>
      </c>
      <c r="AL75" s="66">
        <v>0</v>
      </c>
      <c r="AM75" s="66">
        <v>185114</v>
      </c>
      <c r="AN75" s="66">
        <v>6500</v>
      </c>
      <c r="AO75" s="68">
        <v>1388</v>
      </c>
      <c r="AP75" s="70">
        <v>9806</v>
      </c>
      <c r="AQ75" s="67">
        <v>5829</v>
      </c>
      <c r="AR75" s="66">
        <v>51374</v>
      </c>
      <c r="AS75" s="66">
        <v>56538</v>
      </c>
      <c r="AT75" s="66">
        <v>286</v>
      </c>
      <c r="AU75" s="70">
        <v>29195</v>
      </c>
      <c r="AV75" s="66">
        <v>3500</v>
      </c>
      <c r="AW75" s="66">
        <v>8817</v>
      </c>
      <c r="AX75" s="67">
        <v>7925</v>
      </c>
      <c r="AY75" s="66">
        <v>3955</v>
      </c>
      <c r="AZ75" s="67">
        <v>0</v>
      </c>
      <c r="BA75" s="66">
        <v>6490</v>
      </c>
      <c r="BB75" s="66">
        <v>3343</v>
      </c>
      <c r="BC75" s="70">
        <v>508</v>
      </c>
      <c r="BD75" s="66">
        <v>0</v>
      </c>
      <c r="BE75" s="70">
        <v>1054</v>
      </c>
      <c r="BF75" s="66">
        <v>1129</v>
      </c>
      <c r="BG75" s="68">
        <v>456</v>
      </c>
      <c r="BH75" s="66">
        <v>2229136</v>
      </c>
      <c r="BI75" s="67">
        <v>1192617</v>
      </c>
      <c r="BJ75" s="66">
        <v>143460</v>
      </c>
      <c r="BK75" s="66">
        <v>341431</v>
      </c>
      <c r="BL75" s="66">
        <v>469273</v>
      </c>
      <c r="BM75" s="66">
        <v>62425</v>
      </c>
      <c r="BN75" s="67">
        <v>19931</v>
      </c>
      <c r="BO75" s="67">
        <v>58591</v>
      </c>
      <c r="BP75" s="66">
        <v>32911</v>
      </c>
      <c r="BQ75" s="66">
        <v>18161</v>
      </c>
      <c r="BR75" s="67">
        <v>5076</v>
      </c>
      <c r="BS75" s="67">
        <v>2443</v>
      </c>
      <c r="BT75" s="66">
        <v>20535</v>
      </c>
      <c r="BU75" s="66">
        <v>1632</v>
      </c>
      <c r="BV75" s="70">
        <v>2140</v>
      </c>
      <c r="BW75" s="67">
        <v>16762</v>
      </c>
      <c r="BX75" s="66">
        <v>280336</v>
      </c>
      <c r="BY75" s="66">
        <v>75457</v>
      </c>
      <c r="BZ75" s="67">
        <v>14709</v>
      </c>
      <c r="CA75" s="66">
        <v>6442</v>
      </c>
      <c r="CB75" s="67">
        <v>8267</v>
      </c>
      <c r="CC75" s="68">
        <v>4442</v>
      </c>
      <c r="CD75" s="66">
        <v>7465</v>
      </c>
      <c r="CE75" s="66">
        <v>4674</v>
      </c>
      <c r="CF75" s="70">
        <v>1621</v>
      </c>
      <c r="CG75" s="66">
        <v>1170</v>
      </c>
      <c r="CH75" s="70">
        <v>3947</v>
      </c>
      <c r="CI75" s="68">
        <v>3118</v>
      </c>
      <c r="CJ75" s="68">
        <v>828</v>
      </c>
      <c r="CK75" s="66">
        <v>60636</v>
      </c>
      <c r="CL75" s="66">
        <v>9952</v>
      </c>
      <c r="CM75" s="66">
        <v>50684</v>
      </c>
      <c r="CN75" s="66">
        <v>17283</v>
      </c>
      <c r="CO75" s="66">
        <v>12397</v>
      </c>
      <c r="CP75" s="70">
        <v>4884</v>
      </c>
      <c r="CQ75" s="66">
        <v>2</v>
      </c>
      <c r="CR75" s="67">
        <v>0</v>
      </c>
    </row>
    <row r="76" spans="1:96" s="69" customFormat="1" ht="10.199999999999999" x14ac:dyDescent="0.2">
      <c r="A76" s="65" t="s">
        <v>246</v>
      </c>
      <c r="B76" s="66">
        <v>107700334</v>
      </c>
      <c r="C76" s="66">
        <v>128700</v>
      </c>
      <c r="D76" s="66">
        <v>94735</v>
      </c>
      <c r="E76" s="70">
        <v>2935</v>
      </c>
      <c r="F76" s="66">
        <v>31030</v>
      </c>
      <c r="G76" s="66">
        <v>1602315</v>
      </c>
      <c r="H76" s="67">
        <v>3451482</v>
      </c>
      <c r="I76" s="66">
        <v>991198</v>
      </c>
      <c r="J76" s="67">
        <v>530134</v>
      </c>
      <c r="K76" s="66">
        <v>344070</v>
      </c>
      <c r="L76" s="66">
        <v>116993</v>
      </c>
      <c r="M76" s="66">
        <v>16188494</v>
      </c>
      <c r="N76" s="66">
        <v>395768</v>
      </c>
      <c r="O76" s="67">
        <v>77206</v>
      </c>
      <c r="P76" s="66">
        <v>38341</v>
      </c>
      <c r="Q76" s="67">
        <v>255141</v>
      </c>
      <c r="R76" s="67">
        <v>5904</v>
      </c>
      <c r="S76" s="66">
        <v>44116</v>
      </c>
      <c r="T76" s="66">
        <v>389562</v>
      </c>
      <c r="U76" s="66">
        <v>46881</v>
      </c>
      <c r="V76" s="66">
        <v>191211</v>
      </c>
      <c r="W76" s="66">
        <v>2525556</v>
      </c>
      <c r="X76" s="67">
        <v>114518</v>
      </c>
      <c r="Y76" s="67">
        <v>122621</v>
      </c>
      <c r="Z76" s="67">
        <v>2359404</v>
      </c>
      <c r="AA76" s="66">
        <v>262828</v>
      </c>
      <c r="AB76" s="66">
        <v>361688</v>
      </c>
      <c r="AC76" s="66">
        <v>4905357</v>
      </c>
      <c r="AD76" s="66">
        <v>162978</v>
      </c>
      <c r="AE76" s="66">
        <v>3419051</v>
      </c>
      <c r="AF76" s="67">
        <v>235206</v>
      </c>
      <c r="AG76" s="67">
        <v>275156</v>
      </c>
      <c r="AH76" s="67">
        <v>4864258</v>
      </c>
      <c r="AI76" s="66">
        <v>1428698</v>
      </c>
      <c r="AJ76" s="66">
        <v>743741</v>
      </c>
      <c r="AK76" s="66">
        <v>684090</v>
      </c>
      <c r="AL76" s="70">
        <v>867</v>
      </c>
      <c r="AM76" s="66">
        <v>3435560</v>
      </c>
      <c r="AN76" s="66">
        <v>387497</v>
      </c>
      <c r="AO76" s="67">
        <v>53293</v>
      </c>
      <c r="AP76" s="66">
        <v>285749</v>
      </c>
      <c r="AQ76" s="67">
        <v>242169</v>
      </c>
      <c r="AR76" s="66">
        <v>281947</v>
      </c>
      <c r="AS76" s="66">
        <v>190340</v>
      </c>
      <c r="AT76" s="66">
        <v>81236</v>
      </c>
      <c r="AU76" s="66">
        <v>1194317</v>
      </c>
      <c r="AV76" s="66">
        <v>125688</v>
      </c>
      <c r="AW76" s="66">
        <v>311115</v>
      </c>
      <c r="AX76" s="67">
        <v>140615</v>
      </c>
      <c r="AY76" s="66">
        <v>141594</v>
      </c>
      <c r="AZ76" s="67">
        <v>0</v>
      </c>
      <c r="BA76" s="66">
        <v>512297</v>
      </c>
      <c r="BB76" s="66">
        <v>345870</v>
      </c>
      <c r="BC76" s="66">
        <v>80761</v>
      </c>
      <c r="BD76" s="66">
        <v>3237</v>
      </c>
      <c r="BE76" s="70">
        <v>5723</v>
      </c>
      <c r="BF76" s="66">
        <v>67804</v>
      </c>
      <c r="BG76" s="67">
        <v>8901</v>
      </c>
      <c r="BH76" s="66">
        <v>6944985</v>
      </c>
      <c r="BI76" s="67">
        <v>4240866</v>
      </c>
      <c r="BJ76" s="66">
        <v>104410</v>
      </c>
      <c r="BK76" s="66">
        <v>293706</v>
      </c>
      <c r="BL76" s="66">
        <v>2095696</v>
      </c>
      <c r="BM76" s="66">
        <v>77504</v>
      </c>
      <c r="BN76" s="67">
        <v>132802</v>
      </c>
      <c r="BO76" s="67">
        <v>55914635</v>
      </c>
      <c r="BP76" s="66">
        <v>46219868</v>
      </c>
      <c r="BQ76" s="66">
        <v>8604521</v>
      </c>
      <c r="BR76" s="67">
        <v>621206</v>
      </c>
      <c r="BS76" s="67">
        <v>469040</v>
      </c>
      <c r="BT76" s="66">
        <v>1448359</v>
      </c>
      <c r="BU76" s="66">
        <v>1135822</v>
      </c>
      <c r="BV76" s="66">
        <v>309097</v>
      </c>
      <c r="BW76" s="67">
        <v>3440</v>
      </c>
      <c r="BX76" s="66">
        <v>1419391</v>
      </c>
      <c r="BY76" s="66">
        <v>10756482</v>
      </c>
      <c r="BZ76" s="67">
        <v>384753</v>
      </c>
      <c r="CA76" s="66">
        <v>349295</v>
      </c>
      <c r="CB76" s="67">
        <v>35457</v>
      </c>
      <c r="CC76" s="67">
        <v>58055</v>
      </c>
      <c r="CD76" s="66">
        <v>1274061</v>
      </c>
      <c r="CE76" s="66">
        <v>399096</v>
      </c>
      <c r="CF76" s="66">
        <v>237298</v>
      </c>
      <c r="CG76" s="66">
        <v>637667</v>
      </c>
      <c r="CH76" s="66">
        <v>296217</v>
      </c>
      <c r="CI76" s="67">
        <v>42358</v>
      </c>
      <c r="CJ76" s="67">
        <v>253859</v>
      </c>
      <c r="CK76" s="66">
        <v>1189382</v>
      </c>
      <c r="CL76" s="66">
        <v>355963</v>
      </c>
      <c r="CM76" s="66">
        <v>833419</v>
      </c>
      <c r="CN76" s="66">
        <v>275270</v>
      </c>
      <c r="CO76" s="66">
        <v>56912</v>
      </c>
      <c r="CP76" s="66">
        <v>214994</v>
      </c>
      <c r="CQ76" s="66">
        <v>3364</v>
      </c>
      <c r="CR76" s="67">
        <v>0</v>
      </c>
    </row>
    <row r="77" spans="1:96" s="69" customFormat="1" ht="10.199999999999999" x14ac:dyDescent="0.2">
      <c r="A77" s="65" t="s">
        <v>247</v>
      </c>
      <c r="B77" s="66">
        <v>3657381311</v>
      </c>
      <c r="C77" s="66">
        <v>39598658</v>
      </c>
      <c r="D77" s="66">
        <v>32773768</v>
      </c>
      <c r="E77" s="66">
        <v>2340025</v>
      </c>
      <c r="F77" s="66">
        <v>4484865</v>
      </c>
      <c r="G77" s="66">
        <v>77344308</v>
      </c>
      <c r="H77" s="67">
        <v>103829631</v>
      </c>
      <c r="I77" s="66">
        <v>100054799</v>
      </c>
      <c r="J77" s="67">
        <v>32103278</v>
      </c>
      <c r="K77" s="66">
        <v>14333799</v>
      </c>
      <c r="L77" s="66">
        <v>53617722</v>
      </c>
      <c r="M77" s="66">
        <v>594912336</v>
      </c>
      <c r="N77" s="66">
        <v>41834636</v>
      </c>
      <c r="O77" s="67">
        <v>15692340</v>
      </c>
      <c r="P77" s="66">
        <v>3073819</v>
      </c>
      <c r="Q77" s="67">
        <v>5971467</v>
      </c>
      <c r="R77" s="67">
        <v>883586</v>
      </c>
      <c r="S77" s="66">
        <v>4527665</v>
      </c>
      <c r="T77" s="66">
        <v>12233124</v>
      </c>
      <c r="U77" s="66">
        <v>7640466</v>
      </c>
      <c r="V77" s="66">
        <v>60761415</v>
      </c>
      <c r="W77" s="66">
        <v>118490282</v>
      </c>
      <c r="X77" s="67">
        <v>12163618</v>
      </c>
      <c r="Y77" s="67">
        <v>8725237</v>
      </c>
      <c r="Z77" s="67">
        <v>11408243</v>
      </c>
      <c r="AA77" s="66">
        <v>21000186</v>
      </c>
      <c r="AB77" s="66">
        <v>35814405</v>
      </c>
      <c r="AC77" s="66">
        <v>76829935</v>
      </c>
      <c r="AD77" s="66">
        <v>52364211</v>
      </c>
      <c r="AE77" s="66">
        <v>73295175</v>
      </c>
      <c r="AF77" s="67">
        <v>5498236</v>
      </c>
      <c r="AG77" s="67">
        <v>26704290</v>
      </c>
      <c r="AH77" s="67">
        <v>384194201</v>
      </c>
      <c r="AI77" s="66">
        <v>179200075</v>
      </c>
      <c r="AJ77" s="66">
        <v>86344520</v>
      </c>
      <c r="AK77" s="66">
        <v>91037295</v>
      </c>
      <c r="AL77" s="66">
        <v>1818260</v>
      </c>
      <c r="AM77" s="66">
        <v>204993980</v>
      </c>
      <c r="AN77" s="66">
        <v>28097331</v>
      </c>
      <c r="AO77" s="67">
        <v>8651569</v>
      </c>
      <c r="AP77" s="66">
        <v>8427964</v>
      </c>
      <c r="AQ77" s="67">
        <v>14128610</v>
      </c>
      <c r="AR77" s="66">
        <v>35049829</v>
      </c>
      <c r="AS77" s="66">
        <v>17617798</v>
      </c>
      <c r="AT77" s="66">
        <v>7990508</v>
      </c>
      <c r="AU77" s="66">
        <v>19089903</v>
      </c>
      <c r="AV77" s="66">
        <v>7032461</v>
      </c>
      <c r="AW77" s="66">
        <v>27857777</v>
      </c>
      <c r="AX77" s="67">
        <v>11925089</v>
      </c>
      <c r="AY77" s="66">
        <v>19125141</v>
      </c>
      <c r="AZ77" s="68">
        <v>146</v>
      </c>
      <c r="BA77" s="66">
        <v>210335299</v>
      </c>
      <c r="BB77" s="66">
        <v>74673479</v>
      </c>
      <c r="BC77" s="66">
        <v>73799601</v>
      </c>
      <c r="BD77" s="66">
        <v>5427404</v>
      </c>
      <c r="BE77" s="66">
        <v>1147586</v>
      </c>
      <c r="BF77" s="66">
        <v>51394960</v>
      </c>
      <c r="BG77" s="67">
        <v>3892269</v>
      </c>
      <c r="BH77" s="66">
        <v>317931303</v>
      </c>
      <c r="BI77" s="67">
        <v>56005608</v>
      </c>
      <c r="BJ77" s="66">
        <v>15173775</v>
      </c>
      <c r="BK77" s="66">
        <v>47137401</v>
      </c>
      <c r="BL77" s="66">
        <v>174158415</v>
      </c>
      <c r="BM77" s="66">
        <v>11650789</v>
      </c>
      <c r="BN77" s="67">
        <v>13805315</v>
      </c>
      <c r="BO77" s="67">
        <v>918344312</v>
      </c>
      <c r="BP77" s="66">
        <v>101704466</v>
      </c>
      <c r="BQ77" s="66">
        <v>173269324</v>
      </c>
      <c r="BR77" s="67">
        <v>550244253</v>
      </c>
      <c r="BS77" s="67">
        <v>93126268</v>
      </c>
      <c r="BT77" s="66">
        <v>77577061</v>
      </c>
      <c r="BU77" s="66">
        <v>57819211</v>
      </c>
      <c r="BV77" s="66">
        <v>17984061</v>
      </c>
      <c r="BW77" s="67">
        <v>1773788</v>
      </c>
      <c r="BX77" s="66">
        <v>208941633</v>
      </c>
      <c r="BY77" s="66">
        <v>217496174</v>
      </c>
      <c r="BZ77" s="67">
        <v>84314529</v>
      </c>
      <c r="CA77" s="66">
        <v>72197859</v>
      </c>
      <c r="CB77" s="67">
        <v>12116670</v>
      </c>
      <c r="CC77" s="67">
        <v>9720267</v>
      </c>
      <c r="CD77" s="66">
        <v>167834415</v>
      </c>
      <c r="CE77" s="66">
        <v>102381081</v>
      </c>
      <c r="CF77" s="66">
        <v>23693116</v>
      </c>
      <c r="CG77" s="66">
        <v>41760218</v>
      </c>
      <c r="CH77" s="66">
        <v>27730961</v>
      </c>
      <c r="CI77" s="67">
        <v>16344912</v>
      </c>
      <c r="CJ77" s="67">
        <v>11386049</v>
      </c>
      <c r="CK77" s="66">
        <v>80152384</v>
      </c>
      <c r="CL77" s="66">
        <v>27541556</v>
      </c>
      <c r="CM77" s="66">
        <v>52610828</v>
      </c>
      <c r="CN77" s="66">
        <v>37049206</v>
      </c>
      <c r="CO77" s="66">
        <v>13847752</v>
      </c>
      <c r="CP77" s="66">
        <v>15100875</v>
      </c>
      <c r="CQ77" s="66">
        <v>8100579</v>
      </c>
      <c r="CR77" s="67">
        <v>19835</v>
      </c>
    </row>
    <row r="78" spans="1:96" s="69" customFormat="1" ht="10.199999999999999" x14ac:dyDescent="0.2">
      <c r="A78" s="65" t="s">
        <v>248</v>
      </c>
      <c r="B78" s="66">
        <v>903044312</v>
      </c>
      <c r="C78" s="66">
        <v>827848</v>
      </c>
      <c r="D78" s="66">
        <v>1698</v>
      </c>
      <c r="E78" s="66">
        <v>-50592</v>
      </c>
      <c r="F78" s="66">
        <v>876742</v>
      </c>
      <c r="G78" s="66">
        <v>45104786</v>
      </c>
      <c r="H78" s="67">
        <v>5894414</v>
      </c>
      <c r="I78" s="66">
        <v>26578446</v>
      </c>
      <c r="J78" s="67">
        <v>-4562012</v>
      </c>
      <c r="K78" s="66">
        <v>4876858</v>
      </c>
      <c r="L78" s="66">
        <v>26263600</v>
      </c>
      <c r="M78" s="66">
        <v>289171747</v>
      </c>
      <c r="N78" s="66">
        <v>17825891</v>
      </c>
      <c r="O78" s="67">
        <v>17974657</v>
      </c>
      <c r="P78" s="66">
        <v>-74166</v>
      </c>
      <c r="Q78" s="67">
        <v>702013</v>
      </c>
      <c r="R78" s="67">
        <v>1080</v>
      </c>
      <c r="S78" s="66">
        <v>-1576167</v>
      </c>
      <c r="T78" s="66">
        <v>7858717</v>
      </c>
      <c r="U78" s="66">
        <v>1308324</v>
      </c>
      <c r="V78" s="66">
        <v>115693221</v>
      </c>
      <c r="W78" s="66">
        <v>57846056</v>
      </c>
      <c r="X78" s="67">
        <v>-195841</v>
      </c>
      <c r="Y78" s="67">
        <v>-1468600</v>
      </c>
      <c r="Z78" s="67">
        <v>12554553</v>
      </c>
      <c r="AA78" s="66">
        <v>15067788</v>
      </c>
      <c r="AB78" s="66">
        <v>19636281</v>
      </c>
      <c r="AC78" s="66">
        <v>27159075</v>
      </c>
      <c r="AD78" s="66">
        <v>1211122</v>
      </c>
      <c r="AE78" s="66">
        <v>-13294119</v>
      </c>
      <c r="AF78" s="67">
        <v>362786</v>
      </c>
      <c r="AG78" s="67">
        <v>10579074</v>
      </c>
      <c r="AH78" s="67">
        <v>131794043</v>
      </c>
      <c r="AI78" s="66">
        <v>75746936</v>
      </c>
      <c r="AJ78" s="66">
        <v>27393566</v>
      </c>
      <c r="AK78" s="66">
        <v>47752348</v>
      </c>
      <c r="AL78" s="66">
        <v>601022</v>
      </c>
      <c r="AM78" s="66">
        <v>56047305</v>
      </c>
      <c r="AN78" s="66">
        <v>695288</v>
      </c>
      <c r="AO78" s="67">
        <v>152972</v>
      </c>
      <c r="AP78" s="66">
        <v>2383534</v>
      </c>
      <c r="AQ78" s="67">
        <v>7153840</v>
      </c>
      <c r="AR78" s="66">
        <v>6356582</v>
      </c>
      <c r="AS78" s="66">
        <v>10187526</v>
      </c>
      <c r="AT78" s="66">
        <v>689942</v>
      </c>
      <c r="AU78" s="66">
        <v>3883552</v>
      </c>
      <c r="AV78" s="66">
        <v>802003</v>
      </c>
      <c r="AW78" s="66">
        <v>19677701</v>
      </c>
      <c r="AX78" s="67">
        <v>596390</v>
      </c>
      <c r="AY78" s="66">
        <v>3467974</v>
      </c>
      <c r="AZ78" s="68">
        <v>-199</v>
      </c>
      <c r="BA78" s="66">
        <v>12324230</v>
      </c>
      <c r="BB78" s="66">
        <v>1286892</v>
      </c>
      <c r="BC78" s="66">
        <v>3764959</v>
      </c>
      <c r="BD78" s="66">
        <v>-23444</v>
      </c>
      <c r="BE78" s="66">
        <v>818123</v>
      </c>
      <c r="BF78" s="66">
        <v>5929521</v>
      </c>
      <c r="BG78" s="67">
        <v>548179</v>
      </c>
      <c r="BH78" s="66">
        <v>51684641</v>
      </c>
      <c r="BI78" s="67">
        <v>14613752</v>
      </c>
      <c r="BJ78" s="66">
        <v>3072284</v>
      </c>
      <c r="BK78" s="66">
        <v>5863844</v>
      </c>
      <c r="BL78" s="66">
        <v>20103314</v>
      </c>
      <c r="BM78" s="66">
        <v>3621429</v>
      </c>
      <c r="BN78" s="67">
        <v>4410018</v>
      </c>
      <c r="BO78" s="67">
        <v>204047208</v>
      </c>
      <c r="BP78" s="66">
        <v>-68322680</v>
      </c>
      <c r="BQ78" s="66">
        <v>-101519297</v>
      </c>
      <c r="BR78" s="67">
        <v>2876589</v>
      </c>
      <c r="BS78" s="67">
        <v>371012595</v>
      </c>
      <c r="BT78" s="66">
        <v>19211203</v>
      </c>
      <c r="BU78" s="66">
        <v>21025876</v>
      </c>
      <c r="BV78" s="66">
        <v>-2864362</v>
      </c>
      <c r="BW78" s="67">
        <v>1049688</v>
      </c>
      <c r="BX78" s="66">
        <v>34987412</v>
      </c>
      <c r="BY78" s="66">
        <v>18395027</v>
      </c>
      <c r="BZ78" s="67">
        <v>15153765</v>
      </c>
      <c r="CA78" s="66">
        <v>12572582</v>
      </c>
      <c r="CB78" s="67">
        <v>2581183</v>
      </c>
      <c r="CC78" s="67">
        <v>3106061</v>
      </c>
      <c r="CD78" s="66">
        <v>30276058</v>
      </c>
      <c r="CE78" s="66">
        <v>23278387</v>
      </c>
      <c r="CF78" s="66">
        <v>4006388</v>
      </c>
      <c r="CG78" s="66">
        <v>2991282</v>
      </c>
      <c r="CH78" s="66">
        <v>2145916</v>
      </c>
      <c r="CI78" s="67">
        <v>2811004</v>
      </c>
      <c r="CJ78" s="67">
        <v>-665088</v>
      </c>
      <c r="CK78" s="66">
        <v>8378906</v>
      </c>
      <c r="CL78" s="66">
        <v>393552</v>
      </c>
      <c r="CM78" s="66">
        <v>7985354</v>
      </c>
      <c r="CN78" s="66">
        <v>3996669</v>
      </c>
      <c r="CO78" s="66">
        <v>2259766</v>
      </c>
      <c r="CP78" s="66">
        <v>1792563</v>
      </c>
      <c r="CQ78" s="66">
        <v>-55660</v>
      </c>
      <c r="CR78" s="67">
        <v>-34066</v>
      </c>
    </row>
    <row r="79" spans="1:96" s="69" customFormat="1" ht="10.199999999999999" x14ac:dyDescent="0.2">
      <c r="A79" s="65" t="s">
        <v>310</v>
      </c>
      <c r="B79" s="66">
        <v>151785489</v>
      </c>
      <c r="C79" s="70">
        <v>34459</v>
      </c>
      <c r="D79" s="66">
        <v>34398</v>
      </c>
      <c r="E79" s="70">
        <v>61</v>
      </c>
      <c r="F79" s="66">
        <v>0</v>
      </c>
      <c r="G79" s="66">
        <v>4600691</v>
      </c>
      <c r="H79" s="67">
        <v>777123</v>
      </c>
      <c r="I79" s="66">
        <v>257824</v>
      </c>
      <c r="J79" s="68">
        <v>9049</v>
      </c>
      <c r="K79" s="66">
        <v>217813</v>
      </c>
      <c r="L79" s="66">
        <v>30962</v>
      </c>
      <c r="M79" s="66">
        <v>108898634</v>
      </c>
      <c r="N79" s="66">
        <v>3404141</v>
      </c>
      <c r="O79" s="67">
        <v>2704360</v>
      </c>
      <c r="P79" s="66">
        <v>29375</v>
      </c>
      <c r="Q79" s="67">
        <v>149225</v>
      </c>
      <c r="R79" s="67">
        <v>43694</v>
      </c>
      <c r="S79" s="70">
        <v>1837</v>
      </c>
      <c r="T79" s="66">
        <v>2104760</v>
      </c>
      <c r="U79" s="66">
        <v>63863</v>
      </c>
      <c r="V79" s="66">
        <v>29253771</v>
      </c>
      <c r="W79" s="66">
        <v>20451242</v>
      </c>
      <c r="X79" s="67">
        <v>503450</v>
      </c>
      <c r="Y79" s="67">
        <v>112916</v>
      </c>
      <c r="Z79" s="67">
        <v>1171865</v>
      </c>
      <c r="AA79" s="66">
        <v>1229191</v>
      </c>
      <c r="AB79" s="66">
        <v>5729298</v>
      </c>
      <c r="AC79" s="66">
        <v>17122108</v>
      </c>
      <c r="AD79" s="66">
        <v>17037197</v>
      </c>
      <c r="AE79" s="66">
        <v>5487139</v>
      </c>
      <c r="AF79" s="67">
        <v>33932</v>
      </c>
      <c r="AG79" s="67">
        <v>2265270</v>
      </c>
      <c r="AH79" s="67">
        <v>6357575</v>
      </c>
      <c r="AI79" s="66">
        <v>3774706</v>
      </c>
      <c r="AJ79" s="66">
        <v>986717</v>
      </c>
      <c r="AK79" s="66">
        <v>2787989</v>
      </c>
      <c r="AL79" s="66">
        <v>0</v>
      </c>
      <c r="AM79" s="66">
        <v>2582869</v>
      </c>
      <c r="AN79" s="70">
        <v>1518</v>
      </c>
      <c r="AO79" s="67">
        <v>23411</v>
      </c>
      <c r="AP79" s="66">
        <v>70407</v>
      </c>
      <c r="AQ79" s="68">
        <v>270367</v>
      </c>
      <c r="AR79" s="66">
        <v>10958</v>
      </c>
      <c r="AS79" s="66">
        <v>3074</v>
      </c>
      <c r="AT79" s="70">
        <v>232</v>
      </c>
      <c r="AU79" s="66">
        <v>444629</v>
      </c>
      <c r="AV79" s="66">
        <v>110794</v>
      </c>
      <c r="AW79" s="66">
        <v>1034349</v>
      </c>
      <c r="AX79" s="67">
        <v>191804</v>
      </c>
      <c r="AY79" s="66">
        <v>421326</v>
      </c>
      <c r="AZ79" s="67">
        <v>0</v>
      </c>
      <c r="BA79" s="66">
        <v>425475</v>
      </c>
      <c r="BB79" s="66">
        <v>166121</v>
      </c>
      <c r="BC79" s="66">
        <v>2736</v>
      </c>
      <c r="BD79" s="70">
        <v>13181</v>
      </c>
      <c r="BE79" s="66">
        <v>0</v>
      </c>
      <c r="BF79" s="66">
        <v>238731</v>
      </c>
      <c r="BG79" s="68">
        <v>4706</v>
      </c>
      <c r="BH79" s="66">
        <v>4608111</v>
      </c>
      <c r="BI79" s="67">
        <v>3357623</v>
      </c>
      <c r="BJ79" s="66">
        <v>270025</v>
      </c>
      <c r="BK79" s="66">
        <v>123447</v>
      </c>
      <c r="BL79" s="66">
        <v>548713</v>
      </c>
      <c r="BM79" s="66">
        <v>65726</v>
      </c>
      <c r="BN79" s="67">
        <v>242577</v>
      </c>
      <c r="BO79" s="67">
        <v>10860739</v>
      </c>
      <c r="BP79" s="66">
        <v>1061493</v>
      </c>
      <c r="BQ79" s="66">
        <v>5800935</v>
      </c>
      <c r="BR79" s="67">
        <v>3960056</v>
      </c>
      <c r="BS79" s="68">
        <v>38255</v>
      </c>
      <c r="BT79" s="66">
        <v>115292</v>
      </c>
      <c r="BU79" s="66">
        <v>55418</v>
      </c>
      <c r="BV79" s="66">
        <v>57038</v>
      </c>
      <c r="BW79" s="67">
        <v>2836</v>
      </c>
      <c r="BX79" s="66">
        <v>1180604</v>
      </c>
      <c r="BY79" s="66">
        <v>10363531</v>
      </c>
      <c r="BZ79" s="67">
        <v>696709</v>
      </c>
      <c r="CA79" s="66">
        <v>665365</v>
      </c>
      <c r="CB79" s="67">
        <v>31344</v>
      </c>
      <c r="CC79" s="67">
        <v>10734</v>
      </c>
      <c r="CD79" s="66">
        <v>12150</v>
      </c>
      <c r="CE79" s="66">
        <v>8614</v>
      </c>
      <c r="CF79" s="66">
        <v>6</v>
      </c>
      <c r="CG79" s="66">
        <v>3530</v>
      </c>
      <c r="CH79" s="66">
        <v>69773</v>
      </c>
      <c r="CI79" s="67">
        <v>63053</v>
      </c>
      <c r="CJ79" s="67">
        <v>6720</v>
      </c>
      <c r="CK79" s="66">
        <v>2458900</v>
      </c>
      <c r="CL79" s="66">
        <v>1927562</v>
      </c>
      <c r="CM79" s="66">
        <v>531338</v>
      </c>
      <c r="CN79" s="66">
        <v>57165</v>
      </c>
      <c r="CO79" s="66">
        <v>1195</v>
      </c>
      <c r="CP79" s="66">
        <v>55970</v>
      </c>
      <c r="CQ79" s="66">
        <v>0</v>
      </c>
      <c r="CR79" s="67">
        <v>0</v>
      </c>
    </row>
    <row r="80" spans="1:96" s="73" customFormat="1" ht="10.199999999999999" x14ac:dyDescent="0.2">
      <c r="A80" s="74" t="s">
        <v>255</v>
      </c>
      <c r="B80" s="61">
        <v>984342037</v>
      </c>
      <c r="C80" s="61">
        <v>797400</v>
      </c>
      <c r="D80" s="61">
        <v>-20704</v>
      </c>
      <c r="E80" s="61">
        <v>-52816</v>
      </c>
      <c r="F80" s="61">
        <v>870920</v>
      </c>
      <c r="G80" s="61">
        <v>49623083</v>
      </c>
      <c r="H80" s="60">
        <v>6519453</v>
      </c>
      <c r="I80" s="61">
        <v>26617383</v>
      </c>
      <c r="J80" s="60">
        <v>-4660396</v>
      </c>
      <c r="K80" s="61">
        <v>5024907</v>
      </c>
      <c r="L80" s="61">
        <v>26252871</v>
      </c>
      <c r="M80" s="61">
        <v>396595721</v>
      </c>
      <c r="N80" s="61">
        <v>21176681</v>
      </c>
      <c r="O80" s="60">
        <v>20670626</v>
      </c>
      <c r="P80" s="61">
        <v>-61976</v>
      </c>
      <c r="Q80" s="60">
        <v>844131</v>
      </c>
      <c r="R80" s="60">
        <v>43157</v>
      </c>
      <c r="S80" s="61">
        <v>-1583090</v>
      </c>
      <c r="T80" s="61">
        <v>9947703</v>
      </c>
      <c r="U80" s="61">
        <v>1362328</v>
      </c>
      <c r="V80" s="61">
        <v>144835153</v>
      </c>
      <c r="W80" s="61">
        <v>78086688</v>
      </c>
      <c r="X80" s="60">
        <v>278058</v>
      </c>
      <c r="Y80" s="60">
        <v>-1369977</v>
      </c>
      <c r="Z80" s="60">
        <v>13694559</v>
      </c>
      <c r="AA80" s="61">
        <v>16242553</v>
      </c>
      <c r="AB80" s="61">
        <v>25249854</v>
      </c>
      <c r="AC80" s="61">
        <v>43844672</v>
      </c>
      <c r="AD80" s="61">
        <v>18108923</v>
      </c>
      <c r="AE80" s="61">
        <v>-7911809</v>
      </c>
      <c r="AF80" s="60">
        <v>368717</v>
      </c>
      <c r="AG80" s="60">
        <v>12768768</v>
      </c>
      <c r="AH80" s="60">
        <v>137427588</v>
      </c>
      <c r="AI80" s="61">
        <v>79137385</v>
      </c>
      <c r="AJ80" s="61">
        <v>28268658</v>
      </c>
      <c r="AK80" s="61">
        <v>50268243</v>
      </c>
      <c r="AL80" s="61">
        <v>600484</v>
      </c>
      <c r="AM80" s="61">
        <v>58290402</v>
      </c>
      <c r="AN80" s="61">
        <v>683604</v>
      </c>
      <c r="AO80" s="60">
        <v>160709</v>
      </c>
      <c r="AP80" s="61">
        <v>2412552</v>
      </c>
      <c r="AQ80" s="60">
        <v>7382608</v>
      </c>
      <c r="AR80" s="61">
        <v>6322940</v>
      </c>
      <c r="AS80" s="61">
        <v>10184685</v>
      </c>
      <c r="AT80" s="61">
        <v>661710</v>
      </c>
      <c r="AU80" s="61">
        <v>4251032</v>
      </c>
      <c r="AV80" s="61">
        <v>905455</v>
      </c>
      <c r="AW80" s="61">
        <v>20665043</v>
      </c>
      <c r="AX80" s="60">
        <v>783487</v>
      </c>
      <c r="AY80" s="61">
        <v>3876577</v>
      </c>
      <c r="AZ80" s="62">
        <v>-199</v>
      </c>
      <c r="BA80" s="61">
        <v>12639284</v>
      </c>
      <c r="BB80" s="61">
        <v>1415961</v>
      </c>
      <c r="BC80" s="61">
        <v>3735453</v>
      </c>
      <c r="BD80" s="61">
        <v>-11549</v>
      </c>
      <c r="BE80" s="61">
        <v>817748</v>
      </c>
      <c r="BF80" s="61">
        <v>6132056</v>
      </c>
      <c r="BG80" s="60">
        <v>549614</v>
      </c>
      <c r="BH80" s="61">
        <v>55770265</v>
      </c>
      <c r="BI80" s="60">
        <v>17809466</v>
      </c>
      <c r="BJ80" s="61">
        <v>3310601</v>
      </c>
      <c r="BK80" s="61">
        <v>5946040</v>
      </c>
      <c r="BL80" s="61">
        <v>20541098</v>
      </c>
      <c r="BM80" s="61">
        <v>3666556</v>
      </c>
      <c r="BN80" s="60">
        <v>4496504</v>
      </c>
      <c r="BO80" s="60">
        <v>158541501</v>
      </c>
      <c r="BP80" s="61">
        <v>-70507175</v>
      </c>
      <c r="BQ80" s="61">
        <v>-97197093</v>
      </c>
      <c r="BR80" s="60">
        <v>-10235447</v>
      </c>
      <c r="BS80" s="60">
        <v>336481217</v>
      </c>
      <c r="BT80" s="61">
        <v>18992947</v>
      </c>
      <c r="BU80" s="61">
        <v>20798350</v>
      </c>
      <c r="BV80" s="61">
        <v>-2839209</v>
      </c>
      <c r="BW80" s="60">
        <v>1033807</v>
      </c>
      <c r="BX80" s="61">
        <v>35881845</v>
      </c>
      <c r="BY80" s="61">
        <v>18954841</v>
      </c>
      <c r="BZ80" s="60">
        <v>15776146</v>
      </c>
      <c r="CA80" s="61">
        <v>13169259</v>
      </c>
      <c r="CB80" s="60">
        <v>2606886</v>
      </c>
      <c r="CC80" s="60">
        <v>3075643</v>
      </c>
      <c r="CD80" s="61">
        <v>30158021</v>
      </c>
      <c r="CE80" s="61">
        <v>23241631</v>
      </c>
      <c r="CF80" s="61">
        <v>3995790</v>
      </c>
      <c r="CG80" s="61">
        <v>2920600</v>
      </c>
      <c r="CH80" s="61">
        <v>2183692</v>
      </c>
      <c r="CI80" s="60">
        <v>2850797</v>
      </c>
      <c r="CJ80" s="60">
        <v>-667105</v>
      </c>
      <c r="CK80" s="61">
        <v>10811816</v>
      </c>
      <c r="CL80" s="61">
        <v>2309577</v>
      </c>
      <c r="CM80" s="61">
        <v>8502239</v>
      </c>
      <c r="CN80" s="61">
        <v>4009713</v>
      </c>
      <c r="CO80" s="61">
        <v>2238978</v>
      </c>
      <c r="CP80" s="61">
        <v>1830501</v>
      </c>
      <c r="CQ80" s="61">
        <v>-59766</v>
      </c>
      <c r="CR80" s="60">
        <v>-34305</v>
      </c>
    </row>
    <row r="81" spans="1:96" s="73" customFormat="1" ht="10.199999999999999" x14ac:dyDescent="0.2">
      <c r="A81" s="74" t="s">
        <v>249</v>
      </c>
      <c r="B81" s="61">
        <v>978152640</v>
      </c>
      <c r="C81" s="61">
        <v>2152098</v>
      </c>
      <c r="D81" s="61">
        <v>1726554</v>
      </c>
      <c r="E81" s="61">
        <v>174494</v>
      </c>
      <c r="F81" s="61">
        <v>251050</v>
      </c>
      <c r="G81" s="61">
        <v>47434802</v>
      </c>
      <c r="H81" s="60">
        <v>18439528</v>
      </c>
      <c r="I81" s="61">
        <v>12192983</v>
      </c>
      <c r="J81" s="60">
        <v>3083325</v>
      </c>
      <c r="K81" s="61">
        <v>3986482</v>
      </c>
      <c r="L81" s="61">
        <v>5123176</v>
      </c>
      <c r="M81" s="61">
        <v>436123578</v>
      </c>
      <c r="N81" s="61">
        <v>19418135</v>
      </c>
      <c r="O81" s="60">
        <v>20208102</v>
      </c>
      <c r="P81" s="61">
        <v>444858</v>
      </c>
      <c r="Q81" s="60">
        <v>1188462</v>
      </c>
      <c r="R81" s="60">
        <v>204610</v>
      </c>
      <c r="S81" s="61">
        <v>324343</v>
      </c>
      <c r="T81" s="61">
        <v>8440793</v>
      </c>
      <c r="U81" s="61">
        <v>1034220</v>
      </c>
      <c r="V81" s="61">
        <v>145277713</v>
      </c>
      <c r="W81" s="61">
        <v>82862704</v>
      </c>
      <c r="X81" s="60">
        <v>1675032</v>
      </c>
      <c r="Y81" s="60">
        <v>2179346</v>
      </c>
      <c r="Z81" s="60">
        <v>13961169</v>
      </c>
      <c r="AA81" s="61">
        <v>10105536</v>
      </c>
      <c r="AB81" s="61">
        <v>24576069</v>
      </c>
      <c r="AC81" s="61">
        <v>51512090</v>
      </c>
      <c r="AD81" s="61">
        <v>17705117</v>
      </c>
      <c r="AE81" s="61">
        <v>21265116</v>
      </c>
      <c r="AF81" s="60">
        <v>537066</v>
      </c>
      <c r="AG81" s="60">
        <v>13203097</v>
      </c>
      <c r="AH81" s="60">
        <v>125707607</v>
      </c>
      <c r="AI81" s="61">
        <v>62366191</v>
      </c>
      <c r="AJ81" s="61">
        <v>23040348</v>
      </c>
      <c r="AK81" s="61">
        <v>39263030</v>
      </c>
      <c r="AL81" s="61">
        <v>62813</v>
      </c>
      <c r="AM81" s="61">
        <v>63341417</v>
      </c>
      <c r="AN81" s="61">
        <v>2708148</v>
      </c>
      <c r="AO81" s="60">
        <v>1099467</v>
      </c>
      <c r="AP81" s="61">
        <v>2750289</v>
      </c>
      <c r="AQ81" s="60">
        <v>7412378</v>
      </c>
      <c r="AR81" s="61">
        <v>5730202</v>
      </c>
      <c r="AS81" s="61">
        <v>8810155</v>
      </c>
      <c r="AT81" s="61">
        <v>543959</v>
      </c>
      <c r="AU81" s="61">
        <v>6619386</v>
      </c>
      <c r="AV81" s="61">
        <v>1009521</v>
      </c>
      <c r="AW81" s="61">
        <v>21995065</v>
      </c>
      <c r="AX81" s="60">
        <v>1040425</v>
      </c>
      <c r="AY81" s="61">
        <v>3622420</v>
      </c>
      <c r="AZ81" s="60">
        <v>0</v>
      </c>
      <c r="BA81" s="61">
        <v>17208876</v>
      </c>
      <c r="BB81" s="61">
        <v>7332805</v>
      </c>
      <c r="BC81" s="61">
        <v>1808328</v>
      </c>
      <c r="BD81" s="61">
        <v>149893</v>
      </c>
      <c r="BE81" s="61">
        <v>636005</v>
      </c>
      <c r="BF81" s="61">
        <v>6944517</v>
      </c>
      <c r="BG81" s="60">
        <v>337327</v>
      </c>
      <c r="BH81" s="61">
        <v>65319179</v>
      </c>
      <c r="BI81" s="60">
        <v>23845913</v>
      </c>
      <c r="BJ81" s="61">
        <v>3619527</v>
      </c>
      <c r="BK81" s="61">
        <v>8837690</v>
      </c>
      <c r="BL81" s="61">
        <v>19526681</v>
      </c>
      <c r="BM81" s="61">
        <v>4877601</v>
      </c>
      <c r="BN81" s="60">
        <v>4611767</v>
      </c>
      <c r="BO81" s="60">
        <v>115962088</v>
      </c>
      <c r="BP81" s="61">
        <v>25013394</v>
      </c>
      <c r="BQ81" s="61">
        <v>21131931</v>
      </c>
      <c r="BR81" s="60">
        <v>63629022</v>
      </c>
      <c r="BS81" s="60">
        <v>6187741</v>
      </c>
      <c r="BT81" s="61">
        <v>7113980</v>
      </c>
      <c r="BU81" s="61">
        <v>5224021</v>
      </c>
      <c r="BV81" s="61">
        <v>1153952</v>
      </c>
      <c r="BW81" s="60">
        <v>736006</v>
      </c>
      <c r="BX81" s="61">
        <v>21440854</v>
      </c>
      <c r="BY81" s="61">
        <v>71766536</v>
      </c>
      <c r="BZ81" s="60">
        <v>9493505</v>
      </c>
      <c r="CA81" s="61">
        <v>7325635</v>
      </c>
      <c r="CB81" s="60">
        <v>2167870</v>
      </c>
      <c r="CC81" s="60">
        <v>2164405</v>
      </c>
      <c r="CD81" s="61">
        <v>8485125</v>
      </c>
      <c r="CE81" s="61">
        <v>2809762</v>
      </c>
      <c r="CF81" s="61">
        <v>2708519</v>
      </c>
      <c r="CG81" s="61">
        <v>2966844</v>
      </c>
      <c r="CH81" s="61">
        <v>1714485</v>
      </c>
      <c r="CI81" s="60">
        <v>928589</v>
      </c>
      <c r="CJ81" s="60">
        <v>785896</v>
      </c>
      <c r="CK81" s="61">
        <v>13034421</v>
      </c>
      <c r="CL81" s="61">
        <v>4869256</v>
      </c>
      <c r="CM81" s="61">
        <v>8165165</v>
      </c>
      <c r="CN81" s="61">
        <v>2383408</v>
      </c>
      <c r="CO81" s="61">
        <v>862409</v>
      </c>
      <c r="CP81" s="61">
        <v>1227513</v>
      </c>
      <c r="CQ81" s="61">
        <v>293487</v>
      </c>
      <c r="CR81" s="62">
        <v>15182</v>
      </c>
    </row>
    <row r="82" spans="1:96" s="69" customFormat="1" ht="10.199999999999999" x14ac:dyDescent="0.2">
      <c r="A82" s="65" t="s">
        <v>34</v>
      </c>
      <c r="B82" s="66">
        <v>342380874</v>
      </c>
      <c r="C82" s="66">
        <v>609250</v>
      </c>
      <c r="D82" s="66">
        <v>474819</v>
      </c>
      <c r="E82" s="66">
        <v>56235</v>
      </c>
      <c r="F82" s="66">
        <v>78197</v>
      </c>
      <c r="G82" s="66">
        <v>16925570</v>
      </c>
      <c r="H82" s="67">
        <v>6544450</v>
      </c>
      <c r="I82" s="66">
        <v>3924755</v>
      </c>
      <c r="J82" s="67">
        <v>1007456</v>
      </c>
      <c r="K82" s="66">
        <v>1381598</v>
      </c>
      <c r="L82" s="66">
        <v>1535702</v>
      </c>
      <c r="M82" s="66">
        <v>152665123</v>
      </c>
      <c r="N82" s="66">
        <v>6792356</v>
      </c>
      <c r="O82" s="67">
        <v>7069786</v>
      </c>
      <c r="P82" s="66">
        <v>153335</v>
      </c>
      <c r="Q82" s="67">
        <v>411920</v>
      </c>
      <c r="R82" s="67">
        <v>71349</v>
      </c>
      <c r="S82" s="66">
        <v>108379</v>
      </c>
      <c r="T82" s="66">
        <v>2896189</v>
      </c>
      <c r="U82" s="66">
        <v>351678</v>
      </c>
      <c r="V82" s="66">
        <v>50849648</v>
      </c>
      <c r="W82" s="66">
        <v>29004580</v>
      </c>
      <c r="X82" s="67">
        <v>591670</v>
      </c>
      <c r="Y82" s="67">
        <v>764992</v>
      </c>
      <c r="Z82" s="67">
        <v>4987884</v>
      </c>
      <c r="AA82" s="66">
        <v>3488250</v>
      </c>
      <c r="AB82" s="66">
        <v>8586502</v>
      </c>
      <c r="AC82" s="66">
        <v>18064475</v>
      </c>
      <c r="AD82" s="66">
        <v>6189802</v>
      </c>
      <c r="AE82" s="66">
        <v>7492676</v>
      </c>
      <c r="AF82" s="67">
        <v>188250</v>
      </c>
      <c r="AG82" s="67">
        <v>4601401</v>
      </c>
      <c r="AH82" s="67">
        <v>43446644</v>
      </c>
      <c r="AI82" s="66">
        <v>21510604</v>
      </c>
      <c r="AJ82" s="66">
        <v>7874957</v>
      </c>
      <c r="AK82" s="66">
        <v>13621599</v>
      </c>
      <c r="AL82" s="66">
        <v>14048</v>
      </c>
      <c r="AM82" s="66">
        <v>21936040</v>
      </c>
      <c r="AN82" s="66">
        <v>901726</v>
      </c>
      <c r="AO82" s="67">
        <v>365262</v>
      </c>
      <c r="AP82" s="66">
        <v>951511</v>
      </c>
      <c r="AQ82" s="67">
        <v>2557020</v>
      </c>
      <c r="AR82" s="66">
        <v>1973426</v>
      </c>
      <c r="AS82" s="66">
        <v>3054615</v>
      </c>
      <c r="AT82" s="66">
        <v>177233</v>
      </c>
      <c r="AU82" s="66">
        <v>2305645</v>
      </c>
      <c r="AV82" s="66">
        <v>343127</v>
      </c>
      <c r="AW82" s="66">
        <v>7709975</v>
      </c>
      <c r="AX82" s="67">
        <v>337559</v>
      </c>
      <c r="AY82" s="66">
        <v>1258942</v>
      </c>
      <c r="AZ82" s="67">
        <v>0</v>
      </c>
      <c r="BA82" s="66">
        <v>5955463</v>
      </c>
      <c r="BB82" s="66">
        <v>2566122</v>
      </c>
      <c r="BC82" s="66">
        <v>589963</v>
      </c>
      <c r="BD82" s="66">
        <v>44729</v>
      </c>
      <c r="BE82" s="66">
        <v>222484</v>
      </c>
      <c r="BF82" s="66">
        <v>2417366</v>
      </c>
      <c r="BG82" s="67">
        <v>114800</v>
      </c>
      <c r="BH82" s="66">
        <v>23014898</v>
      </c>
      <c r="BI82" s="67">
        <v>8351405</v>
      </c>
      <c r="BJ82" s="66">
        <v>1331199</v>
      </c>
      <c r="BK82" s="66">
        <v>3101261</v>
      </c>
      <c r="BL82" s="66">
        <v>6904620</v>
      </c>
      <c r="BM82" s="66">
        <v>1704270</v>
      </c>
      <c r="BN82" s="67">
        <v>1622144</v>
      </c>
      <c r="BO82" s="67">
        <v>41756339</v>
      </c>
      <c r="BP82" s="66">
        <v>8879034</v>
      </c>
      <c r="BQ82" s="66">
        <v>7980135</v>
      </c>
      <c r="BR82" s="67">
        <v>22690593</v>
      </c>
      <c r="BS82" s="67">
        <v>2206577</v>
      </c>
      <c r="BT82" s="66">
        <v>2396634</v>
      </c>
      <c r="BU82" s="66">
        <v>1743215</v>
      </c>
      <c r="BV82" s="66">
        <v>396779</v>
      </c>
      <c r="BW82" s="67">
        <v>256641</v>
      </c>
      <c r="BX82" s="66">
        <v>7342582</v>
      </c>
      <c r="BY82" s="66">
        <v>25128056</v>
      </c>
      <c r="BZ82" s="67">
        <v>3213112</v>
      </c>
      <c r="CA82" s="66">
        <v>2457028</v>
      </c>
      <c r="CB82" s="67">
        <v>756083</v>
      </c>
      <c r="CC82" s="67">
        <v>746909</v>
      </c>
      <c r="CD82" s="66">
        <v>2899653</v>
      </c>
      <c r="CE82" s="66">
        <v>954573</v>
      </c>
      <c r="CF82" s="66">
        <v>925006</v>
      </c>
      <c r="CG82" s="66">
        <v>1020075</v>
      </c>
      <c r="CH82" s="66">
        <v>579339</v>
      </c>
      <c r="CI82" s="67">
        <v>316068</v>
      </c>
      <c r="CJ82" s="67">
        <v>263271</v>
      </c>
      <c r="CK82" s="66">
        <v>4492488</v>
      </c>
      <c r="CL82" s="66">
        <v>1707504</v>
      </c>
      <c r="CM82" s="66">
        <v>2784984</v>
      </c>
      <c r="CN82" s="66">
        <v>734565</v>
      </c>
      <c r="CO82" s="66">
        <v>260584</v>
      </c>
      <c r="CP82" s="66">
        <v>408135</v>
      </c>
      <c r="CQ82" s="66">
        <v>65846</v>
      </c>
      <c r="CR82" s="68">
        <v>5045</v>
      </c>
    </row>
    <row r="83" spans="1:96" s="69" customFormat="1" ht="10.199999999999999" x14ac:dyDescent="0.2">
      <c r="A83" s="65" t="s">
        <v>250</v>
      </c>
      <c r="B83" s="66">
        <v>339725610</v>
      </c>
      <c r="C83" s="66">
        <v>603833</v>
      </c>
      <c r="D83" s="66">
        <v>470453</v>
      </c>
      <c r="E83" s="66">
        <v>55936</v>
      </c>
      <c r="F83" s="66">
        <v>77444</v>
      </c>
      <c r="G83" s="66">
        <v>16557519</v>
      </c>
      <c r="H83" s="67">
        <v>6447042</v>
      </c>
      <c r="I83" s="66">
        <v>3860226</v>
      </c>
      <c r="J83" s="67">
        <v>994628</v>
      </c>
      <c r="K83" s="66">
        <v>1354619</v>
      </c>
      <c r="L83" s="66">
        <v>1510979</v>
      </c>
      <c r="M83" s="66">
        <v>152210147</v>
      </c>
      <c r="N83" s="66">
        <v>6779365</v>
      </c>
      <c r="O83" s="67">
        <v>7069569</v>
      </c>
      <c r="P83" s="66">
        <v>151482</v>
      </c>
      <c r="Q83" s="67">
        <v>409633</v>
      </c>
      <c r="R83" s="67">
        <v>71256</v>
      </c>
      <c r="S83" s="66">
        <v>104913</v>
      </c>
      <c r="T83" s="66">
        <v>2887327</v>
      </c>
      <c r="U83" s="66">
        <v>350913</v>
      </c>
      <c r="V83" s="66">
        <v>50844680</v>
      </c>
      <c r="W83" s="66">
        <v>28924567</v>
      </c>
      <c r="X83" s="67">
        <v>572433</v>
      </c>
      <c r="Y83" s="67">
        <v>754878</v>
      </c>
      <c r="Z83" s="67">
        <v>4844126</v>
      </c>
      <c r="AA83" s="66">
        <v>3473079</v>
      </c>
      <c r="AB83" s="66">
        <v>8566991</v>
      </c>
      <c r="AC83" s="66">
        <v>18015233</v>
      </c>
      <c r="AD83" s="66">
        <v>6184065</v>
      </c>
      <c r="AE83" s="66">
        <v>7426905</v>
      </c>
      <c r="AF83" s="67">
        <v>182572</v>
      </c>
      <c r="AG83" s="67">
        <v>4596162</v>
      </c>
      <c r="AH83" s="67">
        <v>43206293</v>
      </c>
      <c r="AI83" s="66">
        <v>21345564</v>
      </c>
      <c r="AJ83" s="66">
        <v>7820371</v>
      </c>
      <c r="AK83" s="66">
        <v>13511162</v>
      </c>
      <c r="AL83" s="66">
        <v>14031</v>
      </c>
      <c r="AM83" s="66">
        <v>21860729</v>
      </c>
      <c r="AN83" s="66">
        <v>879941</v>
      </c>
      <c r="AO83" s="67">
        <v>364637</v>
      </c>
      <c r="AP83" s="66">
        <v>950741</v>
      </c>
      <c r="AQ83" s="67">
        <v>2555536</v>
      </c>
      <c r="AR83" s="66">
        <v>1963372</v>
      </c>
      <c r="AS83" s="66">
        <v>3052406</v>
      </c>
      <c r="AT83" s="66">
        <v>175023</v>
      </c>
      <c r="AU83" s="66">
        <v>2296223</v>
      </c>
      <c r="AV83" s="66">
        <v>342591</v>
      </c>
      <c r="AW83" s="66">
        <v>7695943</v>
      </c>
      <c r="AX83" s="67">
        <v>336562</v>
      </c>
      <c r="AY83" s="66">
        <v>1247753</v>
      </c>
      <c r="AZ83" s="67">
        <v>0</v>
      </c>
      <c r="BA83" s="66">
        <v>5934185</v>
      </c>
      <c r="BB83" s="66">
        <v>2555630</v>
      </c>
      <c r="BC83" s="66">
        <v>587381</v>
      </c>
      <c r="BD83" s="66">
        <v>44496</v>
      </c>
      <c r="BE83" s="66">
        <v>219838</v>
      </c>
      <c r="BF83" s="66">
        <v>2413692</v>
      </c>
      <c r="BG83" s="67">
        <v>113148</v>
      </c>
      <c r="BH83" s="66">
        <v>22798521</v>
      </c>
      <c r="BI83" s="67">
        <v>8332713</v>
      </c>
      <c r="BJ83" s="66">
        <v>1261131</v>
      </c>
      <c r="BK83" s="66">
        <v>3089639</v>
      </c>
      <c r="BL83" s="66">
        <v>6810880</v>
      </c>
      <c r="BM83" s="66">
        <v>1701813</v>
      </c>
      <c r="BN83" s="67">
        <v>1602345</v>
      </c>
      <c r="BO83" s="67">
        <v>40986463</v>
      </c>
      <c r="BP83" s="66">
        <v>8711482</v>
      </c>
      <c r="BQ83" s="66">
        <v>7943545</v>
      </c>
      <c r="BR83" s="67">
        <v>22149654</v>
      </c>
      <c r="BS83" s="67">
        <v>2181781</v>
      </c>
      <c r="BT83" s="66">
        <v>2265781</v>
      </c>
      <c r="BU83" s="66">
        <v>1622304</v>
      </c>
      <c r="BV83" s="66">
        <v>387360</v>
      </c>
      <c r="BW83" s="67">
        <v>256117</v>
      </c>
      <c r="BX83" s="66">
        <v>7243295</v>
      </c>
      <c r="BY83" s="66">
        <v>25003291</v>
      </c>
      <c r="BZ83" s="67">
        <v>3203529</v>
      </c>
      <c r="CA83" s="66">
        <v>2451918</v>
      </c>
      <c r="CB83" s="67">
        <v>751612</v>
      </c>
      <c r="CC83" s="67">
        <v>743159</v>
      </c>
      <c r="CD83" s="66">
        <v>2882219</v>
      </c>
      <c r="CE83" s="66">
        <v>949923</v>
      </c>
      <c r="CF83" s="66">
        <v>921118</v>
      </c>
      <c r="CG83" s="66">
        <v>1011178</v>
      </c>
      <c r="CH83" s="66">
        <v>573612</v>
      </c>
      <c r="CI83" s="67">
        <v>312204</v>
      </c>
      <c r="CJ83" s="67">
        <v>261408</v>
      </c>
      <c r="CK83" s="66">
        <v>4469653</v>
      </c>
      <c r="CL83" s="66">
        <v>1690107</v>
      </c>
      <c r="CM83" s="66">
        <v>2779546</v>
      </c>
      <c r="CN83" s="66">
        <v>731799</v>
      </c>
      <c r="CO83" s="66">
        <v>260348</v>
      </c>
      <c r="CP83" s="66">
        <v>406324</v>
      </c>
      <c r="CQ83" s="66">
        <v>65127</v>
      </c>
      <c r="CR83" s="68">
        <v>5045</v>
      </c>
    </row>
    <row r="84" spans="1:96" s="69" customFormat="1" ht="10.199999999999999" x14ac:dyDescent="0.2">
      <c r="A84" s="65" t="s">
        <v>251</v>
      </c>
      <c r="B84" s="66">
        <v>2309691</v>
      </c>
      <c r="C84" s="66">
        <v>4643</v>
      </c>
      <c r="D84" s="66">
        <v>3595</v>
      </c>
      <c r="E84" s="70">
        <v>295</v>
      </c>
      <c r="F84" s="70">
        <v>753</v>
      </c>
      <c r="G84" s="66">
        <v>347796</v>
      </c>
      <c r="H84" s="67">
        <v>92644</v>
      </c>
      <c r="I84" s="66">
        <v>30905</v>
      </c>
      <c r="J84" s="67">
        <v>3399</v>
      </c>
      <c r="K84" s="66">
        <v>10569</v>
      </c>
      <c r="L84" s="66">
        <v>16938</v>
      </c>
      <c r="M84" s="66">
        <v>380872</v>
      </c>
      <c r="N84" s="66">
        <v>12158</v>
      </c>
      <c r="O84" s="68">
        <v>218</v>
      </c>
      <c r="P84" s="66">
        <v>1853</v>
      </c>
      <c r="Q84" s="68">
        <v>2550</v>
      </c>
      <c r="R84" s="68">
        <v>93</v>
      </c>
      <c r="S84" s="70">
        <v>3242</v>
      </c>
      <c r="T84" s="66">
        <v>8754</v>
      </c>
      <c r="U84" s="66">
        <v>766</v>
      </c>
      <c r="V84" s="66">
        <v>3449</v>
      </c>
      <c r="W84" s="66">
        <v>71166</v>
      </c>
      <c r="X84" s="67">
        <v>16192</v>
      </c>
      <c r="Y84" s="67">
        <v>6151</v>
      </c>
      <c r="Z84" s="67">
        <v>139736</v>
      </c>
      <c r="AA84" s="66">
        <v>12965</v>
      </c>
      <c r="AB84" s="66">
        <v>17959</v>
      </c>
      <c r="AC84" s="66">
        <v>39218</v>
      </c>
      <c r="AD84" s="66">
        <v>7203</v>
      </c>
      <c r="AE84" s="66">
        <v>25531</v>
      </c>
      <c r="AF84" s="68">
        <v>3521</v>
      </c>
      <c r="AG84" s="67">
        <v>8148</v>
      </c>
      <c r="AH84" s="67">
        <v>206967</v>
      </c>
      <c r="AI84" s="66">
        <v>153546</v>
      </c>
      <c r="AJ84" s="66">
        <v>52129</v>
      </c>
      <c r="AK84" s="66">
        <v>101417</v>
      </c>
      <c r="AL84" s="66">
        <v>0</v>
      </c>
      <c r="AM84" s="66">
        <v>53421</v>
      </c>
      <c r="AN84" s="66">
        <v>4560</v>
      </c>
      <c r="AO84" s="68">
        <v>626</v>
      </c>
      <c r="AP84" s="70">
        <v>765</v>
      </c>
      <c r="AQ84" s="68">
        <v>667</v>
      </c>
      <c r="AR84" s="66">
        <v>7212</v>
      </c>
      <c r="AS84" s="70">
        <v>728</v>
      </c>
      <c r="AT84" s="70">
        <v>2183</v>
      </c>
      <c r="AU84" s="66">
        <v>9898</v>
      </c>
      <c r="AV84" s="70">
        <v>536</v>
      </c>
      <c r="AW84" s="66">
        <v>13748</v>
      </c>
      <c r="AX84" s="68">
        <v>997</v>
      </c>
      <c r="AY84" s="66">
        <v>11502</v>
      </c>
      <c r="AZ84" s="67">
        <v>0</v>
      </c>
      <c r="BA84" s="66">
        <v>34706</v>
      </c>
      <c r="BB84" s="66">
        <v>25123</v>
      </c>
      <c r="BC84" s="66">
        <v>2763</v>
      </c>
      <c r="BD84" s="70">
        <v>233</v>
      </c>
      <c r="BE84" s="66">
        <v>2647</v>
      </c>
      <c r="BF84" s="66">
        <v>2289</v>
      </c>
      <c r="BG84" s="67">
        <v>1652</v>
      </c>
      <c r="BH84" s="66">
        <v>201618</v>
      </c>
      <c r="BI84" s="67">
        <v>17040</v>
      </c>
      <c r="BJ84" s="66">
        <v>65795</v>
      </c>
      <c r="BK84" s="70">
        <v>10157</v>
      </c>
      <c r="BL84" s="66">
        <v>86370</v>
      </c>
      <c r="BM84" s="66">
        <v>2457</v>
      </c>
      <c r="BN84" s="67">
        <v>19798</v>
      </c>
      <c r="BO84" s="67">
        <v>680910</v>
      </c>
      <c r="BP84" s="66">
        <v>116489</v>
      </c>
      <c r="BQ84" s="66">
        <v>30487</v>
      </c>
      <c r="BR84" s="67">
        <v>528974</v>
      </c>
      <c r="BS84" s="67">
        <v>4960</v>
      </c>
      <c r="BT84" s="66">
        <v>86976</v>
      </c>
      <c r="BU84" s="66">
        <v>78617</v>
      </c>
      <c r="BV84" s="66">
        <v>7843</v>
      </c>
      <c r="BW84" s="68">
        <v>516</v>
      </c>
      <c r="BX84" s="66">
        <v>85283</v>
      </c>
      <c r="BY84" s="66">
        <v>102843</v>
      </c>
      <c r="BZ84" s="67">
        <v>10896</v>
      </c>
      <c r="CA84" s="66">
        <v>6677</v>
      </c>
      <c r="CB84" s="67">
        <v>4219</v>
      </c>
      <c r="CC84" s="67">
        <v>1939</v>
      </c>
      <c r="CD84" s="66">
        <v>16954</v>
      </c>
      <c r="CE84" s="66">
        <v>4580</v>
      </c>
      <c r="CF84" s="66">
        <v>3477</v>
      </c>
      <c r="CG84" s="66">
        <v>8897</v>
      </c>
      <c r="CH84" s="66">
        <v>4267</v>
      </c>
      <c r="CI84" s="67">
        <v>2449</v>
      </c>
      <c r="CJ84" s="67">
        <v>1818</v>
      </c>
      <c r="CK84" s="66">
        <v>16841</v>
      </c>
      <c r="CL84" s="66">
        <v>11439</v>
      </c>
      <c r="CM84" s="66">
        <v>5401</v>
      </c>
      <c r="CN84" s="66">
        <v>2632</v>
      </c>
      <c r="CO84" s="70">
        <v>234</v>
      </c>
      <c r="CP84" s="70">
        <v>1810</v>
      </c>
      <c r="CQ84" s="70">
        <v>588</v>
      </c>
      <c r="CR84" s="67">
        <v>0</v>
      </c>
    </row>
    <row r="85" spans="1:96" s="69" customFormat="1" ht="10.199999999999999" x14ac:dyDescent="0.2">
      <c r="A85" s="65" t="s">
        <v>252</v>
      </c>
      <c r="B85" s="66">
        <v>100433672</v>
      </c>
      <c r="C85" s="66">
        <v>3904</v>
      </c>
      <c r="D85" s="66">
        <v>2471</v>
      </c>
      <c r="E85" s="70">
        <v>1398</v>
      </c>
      <c r="F85" s="66">
        <v>34</v>
      </c>
      <c r="G85" s="66">
        <v>6781627</v>
      </c>
      <c r="H85" s="67">
        <v>223298</v>
      </c>
      <c r="I85" s="66">
        <v>159036</v>
      </c>
      <c r="J85" s="67">
        <v>8350</v>
      </c>
      <c r="K85" s="66">
        <v>139556</v>
      </c>
      <c r="L85" s="66">
        <v>11131</v>
      </c>
      <c r="M85" s="66">
        <v>73530080</v>
      </c>
      <c r="N85" s="66">
        <v>1705847</v>
      </c>
      <c r="O85" s="67">
        <v>2691846</v>
      </c>
      <c r="P85" s="66">
        <v>4300</v>
      </c>
      <c r="Q85" s="67">
        <v>137403</v>
      </c>
      <c r="R85" s="67">
        <v>15251</v>
      </c>
      <c r="S85" s="70">
        <v>3530</v>
      </c>
      <c r="T85" s="66">
        <v>1091828</v>
      </c>
      <c r="U85" s="66">
        <v>22537</v>
      </c>
      <c r="V85" s="66">
        <v>37926478</v>
      </c>
      <c r="W85" s="66">
        <v>11780188</v>
      </c>
      <c r="X85" s="67">
        <v>135377</v>
      </c>
      <c r="Y85" s="67">
        <v>102452</v>
      </c>
      <c r="Z85" s="67">
        <v>913767</v>
      </c>
      <c r="AA85" s="66">
        <v>577487</v>
      </c>
      <c r="AB85" s="66">
        <v>2726270</v>
      </c>
      <c r="AC85" s="66">
        <v>7207683</v>
      </c>
      <c r="AD85" s="66">
        <v>3647572</v>
      </c>
      <c r="AE85" s="66">
        <v>1496111</v>
      </c>
      <c r="AF85" s="68">
        <v>42898</v>
      </c>
      <c r="AG85" s="67">
        <v>1301253</v>
      </c>
      <c r="AH85" s="67">
        <v>2934272</v>
      </c>
      <c r="AI85" s="66">
        <v>1497187</v>
      </c>
      <c r="AJ85" s="66">
        <v>352401</v>
      </c>
      <c r="AK85" s="66">
        <v>1144786</v>
      </c>
      <c r="AL85" s="66">
        <v>0</v>
      </c>
      <c r="AM85" s="66">
        <v>1437086</v>
      </c>
      <c r="AN85" s="66">
        <v>13661</v>
      </c>
      <c r="AO85" s="67">
        <v>7571</v>
      </c>
      <c r="AP85" s="66">
        <v>17916</v>
      </c>
      <c r="AQ85" s="68">
        <v>132735</v>
      </c>
      <c r="AR85" s="70">
        <v>10986</v>
      </c>
      <c r="AS85" s="66">
        <v>16594</v>
      </c>
      <c r="AT85" s="66">
        <v>704</v>
      </c>
      <c r="AU85" s="66">
        <v>213668</v>
      </c>
      <c r="AV85" s="66">
        <v>88525</v>
      </c>
      <c r="AW85" s="66">
        <v>644363</v>
      </c>
      <c r="AX85" s="68">
        <v>4778</v>
      </c>
      <c r="AY85" s="66">
        <v>285584</v>
      </c>
      <c r="AZ85" s="67">
        <v>0</v>
      </c>
      <c r="BA85" s="66">
        <v>361665</v>
      </c>
      <c r="BB85" s="66">
        <v>78518</v>
      </c>
      <c r="BC85" s="70">
        <v>800</v>
      </c>
      <c r="BD85" s="66">
        <v>2163</v>
      </c>
      <c r="BE85" s="66">
        <v>0</v>
      </c>
      <c r="BF85" s="66">
        <v>280131</v>
      </c>
      <c r="BG85" s="68">
        <v>53</v>
      </c>
      <c r="BH85" s="66">
        <v>4788392</v>
      </c>
      <c r="BI85" s="67">
        <v>2984742</v>
      </c>
      <c r="BJ85" s="66">
        <v>258665</v>
      </c>
      <c r="BK85" s="66">
        <v>333794</v>
      </c>
      <c r="BL85" s="66">
        <v>699475</v>
      </c>
      <c r="BM85" s="66">
        <v>447961</v>
      </c>
      <c r="BN85" s="67">
        <v>63755</v>
      </c>
      <c r="BO85" s="67">
        <v>4269682</v>
      </c>
      <c r="BP85" s="66">
        <v>468109</v>
      </c>
      <c r="BQ85" s="66">
        <v>1094429</v>
      </c>
      <c r="BR85" s="67">
        <v>2703258</v>
      </c>
      <c r="BS85" s="67">
        <v>3886</v>
      </c>
      <c r="BT85" s="66">
        <v>80467</v>
      </c>
      <c r="BU85" s="66">
        <v>18802</v>
      </c>
      <c r="BV85" s="66">
        <v>7921</v>
      </c>
      <c r="BW85" s="67">
        <v>53743</v>
      </c>
      <c r="BX85" s="66">
        <v>668941</v>
      </c>
      <c r="BY85" s="66">
        <v>4535743</v>
      </c>
      <c r="BZ85" s="67">
        <v>400381</v>
      </c>
      <c r="CA85" s="66">
        <v>400331</v>
      </c>
      <c r="CB85" s="67">
        <v>50</v>
      </c>
      <c r="CC85" s="67">
        <v>6180</v>
      </c>
      <c r="CD85" s="66">
        <v>15287</v>
      </c>
      <c r="CE85" s="66">
        <v>38</v>
      </c>
      <c r="CF85" s="66">
        <v>15036</v>
      </c>
      <c r="CG85" s="66">
        <v>213</v>
      </c>
      <c r="CH85" s="66">
        <v>26222</v>
      </c>
      <c r="CI85" s="67">
        <v>25960</v>
      </c>
      <c r="CJ85" s="67">
        <v>263</v>
      </c>
      <c r="CK85" s="66">
        <v>1605466</v>
      </c>
      <c r="CL85" s="66">
        <v>712734</v>
      </c>
      <c r="CM85" s="66">
        <v>892731</v>
      </c>
      <c r="CN85" s="66">
        <v>43031</v>
      </c>
      <c r="CO85" s="70">
        <v>4106</v>
      </c>
      <c r="CP85" s="70">
        <v>38912</v>
      </c>
      <c r="CQ85" s="70">
        <v>13</v>
      </c>
      <c r="CR85" s="67">
        <v>0</v>
      </c>
    </row>
    <row r="86" spans="1:96" s="69" customFormat="1" ht="10.199999999999999" x14ac:dyDescent="0.2">
      <c r="A86" s="65" t="s">
        <v>253</v>
      </c>
      <c r="B86" s="66">
        <v>11303583</v>
      </c>
      <c r="C86" s="66">
        <v>10570</v>
      </c>
      <c r="D86" s="66">
        <v>6769</v>
      </c>
      <c r="E86" s="66">
        <v>282</v>
      </c>
      <c r="F86" s="66">
        <v>3520</v>
      </c>
      <c r="G86" s="66">
        <v>70464</v>
      </c>
      <c r="H86" s="67">
        <v>199581</v>
      </c>
      <c r="I86" s="66">
        <v>53970</v>
      </c>
      <c r="J86" s="67">
        <v>13229</v>
      </c>
      <c r="K86" s="66">
        <v>17477</v>
      </c>
      <c r="L86" s="66">
        <v>23263</v>
      </c>
      <c r="M86" s="66">
        <v>5029187</v>
      </c>
      <c r="N86" s="66">
        <v>121146</v>
      </c>
      <c r="O86" s="67">
        <v>21199</v>
      </c>
      <c r="P86" s="66">
        <v>3555</v>
      </c>
      <c r="Q86" s="67">
        <v>4175</v>
      </c>
      <c r="R86" s="67">
        <v>1019</v>
      </c>
      <c r="S86" s="66">
        <v>4227</v>
      </c>
      <c r="T86" s="66">
        <v>80557</v>
      </c>
      <c r="U86" s="66">
        <v>4735</v>
      </c>
      <c r="V86" s="66">
        <v>435770</v>
      </c>
      <c r="W86" s="66">
        <v>1335984</v>
      </c>
      <c r="X86" s="67">
        <v>17350</v>
      </c>
      <c r="Y86" s="67">
        <v>6963</v>
      </c>
      <c r="Z86" s="67">
        <v>62256</v>
      </c>
      <c r="AA86" s="66">
        <v>110892</v>
      </c>
      <c r="AB86" s="66">
        <v>301240</v>
      </c>
      <c r="AC86" s="66">
        <v>1131645</v>
      </c>
      <c r="AD86" s="66">
        <v>705833</v>
      </c>
      <c r="AE86" s="66">
        <v>412898</v>
      </c>
      <c r="AF86" s="67">
        <v>9925</v>
      </c>
      <c r="AG86" s="67">
        <v>257820</v>
      </c>
      <c r="AH86" s="67">
        <v>834265</v>
      </c>
      <c r="AI86" s="66">
        <v>428870</v>
      </c>
      <c r="AJ86" s="66">
        <v>75300</v>
      </c>
      <c r="AK86" s="66">
        <v>353571</v>
      </c>
      <c r="AL86" s="66">
        <v>0</v>
      </c>
      <c r="AM86" s="66">
        <v>405394</v>
      </c>
      <c r="AN86" s="66">
        <v>12682</v>
      </c>
      <c r="AO86" s="67">
        <v>3044</v>
      </c>
      <c r="AP86" s="66">
        <v>13970</v>
      </c>
      <c r="AQ86" s="67">
        <v>29062</v>
      </c>
      <c r="AR86" s="66">
        <v>54369</v>
      </c>
      <c r="AS86" s="66">
        <v>17124</v>
      </c>
      <c r="AT86" s="66">
        <v>9347</v>
      </c>
      <c r="AU86" s="66">
        <v>29055</v>
      </c>
      <c r="AV86" s="66">
        <v>15199</v>
      </c>
      <c r="AW86" s="66">
        <v>202798</v>
      </c>
      <c r="AX86" s="67">
        <v>6091</v>
      </c>
      <c r="AY86" s="66">
        <v>12653</v>
      </c>
      <c r="AZ86" s="67">
        <v>0</v>
      </c>
      <c r="BA86" s="66">
        <v>121766</v>
      </c>
      <c r="BB86" s="66">
        <v>38866</v>
      </c>
      <c r="BC86" s="66">
        <v>6696</v>
      </c>
      <c r="BD86" s="66">
        <v>1309</v>
      </c>
      <c r="BE86" s="66">
        <v>208</v>
      </c>
      <c r="BF86" s="66">
        <v>71554</v>
      </c>
      <c r="BG86" s="67">
        <v>3133</v>
      </c>
      <c r="BH86" s="66">
        <v>904213</v>
      </c>
      <c r="BI86" s="67">
        <v>569230</v>
      </c>
      <c r="BJ86" s="66">
        <v>12393</v>
      </c>
      <c r="BK86" s="66">
        <v>15320</v>
      </c>
      <c r="BL86" s="66">
        <v>187016</v>
      </c>
      <c r="BM86" s="66">
        <v>22773</v>
      </c>
      <c r="BN86" s="67">
        <v>97481</v>
      </c>
      <c r="BO86" s="67">
        <v>670703</v>
      </c>
      <c r="BP86" s="66">
        <v>267198</v>
      </c>
      <c r="BQ86" s="66">
        <v>75390</v>
      </c>
      <c r="BR86" s="67">
        <v>303773</v>
      </c>
      <c r="BS86" s="67">
        <v>24341</v>
      </c>
      <c r="BT86" s="66">
        <v>28685</v>
      </c>
      <c r="BU86" s="66">
        <v>10195</v>
      </c>
      <c r="BV86" s="66">
        <v>5846</v>
      </c>
      <c r="BW86" s="68">
        <v>12644</v>
      </c>
      <c r="BX86" s="66">
        <v>261406</v>
      </c>
      <c r="BY86" s="66">
        <v>2466160</v>
      </c>
      <c r="BZ86" s="67">
        <v>100177</v>
      </c>
      <c r="CA86" s="66">
        <v>82043</v>
      </c>
      <c r="CB86" s="67">
        <v>18134</v>
      </c>
      <c r="CC86" s="67">
        <v>2344</v>
      </c>
      <c r="CD86" s="66">
        <v>56300</v>
      </c>
      <c r="CE86" s="66">
        <v>6647</v>
      </c>
      <c r="CF86" s="66">
        <v>25670</v>
      </c>
      <c r="CG86" s="66">
        <v>23983</v>
      </c>
      <c r="CH86" s="66">
        <v>3649</v>
      </c>
      <c r="CI86" s="67">
        <v>1650</v>
      </c>
      <c r="CJ86" s="67">
        <v>1999</v>
      </c>
      <c r="CK86" s="66">
        <v>478961</v>
      </c>
      <c r="CL86" s="66">
        <v>155315</v>
      </c>
      <c r="CM86" s="66">
        <v>323646</v>
      </c>
      <c r="CN86" s="66">
        <v>11182</v>
      </c>
      <c r="CO86" s="66">
        <v>4955</v>
      </c>
      <c r="CP86" s="66">
        <v>6201</v>
      </c>
      <c r="CQ86" s="70">
        <v>26</v>
      </c>
      <c r="CR86" s="67">
        <v>0</v>
      </c>
    </row>
    <row r="87" spans="1:96" s="69" customFormat="1" ht="10.199999999999999" x14ac:dyDescent="0.2">
      <c r="A87" s="65" t="s">
        <v>254</v>
      </c>
      <c r="B87" s="66">
        <v>1934196</v>
      </c>
      <c r="C87" s="66">
        <v>3928</v>
      </c>
      <c r="D87" s="66">
        <v>1333</v>
      </c>
      <c r="E87" s="70">
        <v>1614</v>
      </c>
      <c r="F87" s="70">
        <v>981</v>
      </c>
      <c r="G87" s="66">
        <v>348308</v>
      </c>
      <c r="H87" s="67">
        <v>144211</v>
      </c>
      <c r="I87" s="66">
        <v>17111</v>
      </c>
      <c r="J87" s="67">
        <v>7622</v>
      </c>
      <c r="K87" s="66">
        <v>2847</v>
      </c>
      <c r="L87" s="66">
        <v>6642</v>
      </c>
      <c r="M87" s="66">
        <v>543781</v>
      </c>
      <c r="N87" s="66">
        <v>15420</v>
      </c>
      <c r="O87" s="67">
        <v>11645</v>
      </c>
      <c r="P87" s="70">
        <v>273</v>
      </c>
      <c r="Q87" s="67">
        <v>1021</v>
      </c>
      <c r="R87" s="67">
        <v>0</v>
      </c>
      <c r="S87" s="70">
        <v>190</v>
      </c>
      <c r="T87" s="70">
        <v>5627</v>
      </c>
      <c r="U87" s="70">
        <v>3573</v>
      </c>
      <c r="V87" s="70">
        <v>38120</v>
      </c>
      <c r="W87" s="66">
        <v>74989</v>
      </c>
      <c r="X87" s="67">
        <v>2768</v>
      </c>
      <c r="Y87" s="68">
        <v>3840</v>
      </c>
      <c r="Z87" s="67">
        <v>28305</v>
      </c>
      <c r="AA87" s="66">
        <v>25957</v>
      </c>
      <c r="AB87" s="66">
        <v>38921</v>
      </c>
      <c r="AC87" s="66">
        <v>35552</v>
      </c>
      <c r="AD87" s="66">
        <v>237751</v>
      </c>
      <c r="AE87" s="66">
        <v>6951</v>
      </c>
      <c r="AF87" s="68">
        <v>34</v>
      </c>
      <c r="AG87" s="67">
        <v>12844</v>
      </c>
      <c r="AH87" s="67">
        <v>157349</v>
      </c>
      <c r="AI87" s="66">
        <v>145519</v>
      </c>
      <c r="AJ87" s="66">
        <v>29435</v>
      </c>
      <c r="AK87" s="66">
        <v>116083</v>
      </c>
      <c r="AL87" s="66">
        <v>0</v>
      </c>
      <c r="AM87" s="66">
        <v>11830</v>
      </c>
      <c r="AN87" s="66">
        <v>1217</v>
      </c>
      <c r="AO87" s="68">
        <v>30</v>
      </c>
      <c r="AP87" s="66">
        <v>3963</v>
      </c>
      <c r="AQ87" s="68">
        <v>138</v>
      </c>
      <c r="AR87" s="70">
        <v>595</v>
      </c>
      <c r="AS87" s="70">
        <v>582</v>
      </c>
      <c r="AT87" s="70">
        <v>631</v>
      </c>
      <c r="AU87" s="66">
        <v>159</v>
      </c>
      <c r="AV87" s="66">
        <v>1163</v>
      </c>
      <c r="AW87" s="70">
        <v>1102</v>
      </c>
      <c r="AX87" s="67">
        <v>187</v>
      </c>
      <c r="AY87" s="66">
        <v>2065</v>
      </c>
      <c r="AZ87" s="67">
        <v>0</v>
      </c>
      <c r="BA87" s="66">
        <v>17913</v>
      </c>
      <c r="BB87" s="66">
        <v>978</v>
      </c>
      <c r="BC87" s="66">
        <v>4110</v>
      </c>
      <c r="BD87" s="66">
        <v>0</v>
      </c>
      <c r="BE87" s="70">
        <v>67</v>
      </c>
      <c r="BF87" s="70">
        <v>646</v>
      </c>
      <c r="BG87" s="68">
        <v>12112</v>
      </c>
      <c r="BH87" s="66">
        <v>305815</v>
      </c>
      <c r="BI87" s="67">
        <v>6288</v>
      </c>
      <c r="BJ87" s="66">
        <v>0</v>
      </c>
      <c r="BK87" s="70">
        <v>31899</v>
      </c>
      <c r="BL87" s="66">
        <v>265871</v>
      </c>
      <c r="BM87" s="66">
        <v>0</v>
      </c>
      <c r="BN87" s="67">
        <v>1757</v>
      </c>
      <c r="BO87" s="67">
        <v>279906</v>
      </c>
      <c r="BP87" s="66">
        <v>11285</v>
      </c>
      <c r="BQ87" s="66">
        <v>10054</v>
      </c>
      <c r="BR87" s="67">
        <v>256106</v>
      </c>
      <c r="BS87" s="68">
        <v>2460</v>
      </c>
      <c r="BT87" s="66">
        <v>13021</v>
      </c>
      <c r="BU87" s="66">
        <v>8708</v>
      </c>
      <c r="BV87" s="66">
        <v>4196</v>
      </c>
      <c r="BW87" s="67">
        <v>117</v>
      </c>
      <c r="BX87" s="66">
        <v>17222</v>
      </c>
      <c r="BY87" s="66">
        <v>27367</v>
      </c>
      <c r="BZ87" s="67">
        <v>12842</v>
      </c>
      <c r="CA87" s="66">
        <v>12842</v>
      </c>
      <c r="CB87" s="67">
        <v>0</v>
      </c>
      <c r="CC87" s="67">
        <v>112</v>
      </c>
      <c r="CD87" s="66">
        <v>6258</v>
      </c>
      <c r="CE87" s="66">
        <v>2360</v>
      </c>
      <c r="CF87" s="70">
        <v>3760</v>
      </c>
      <c r="CG87" s="66">
        <v>137</v>
      </c>
      <c r="CH87" s="70">
        <v>508</v>
      </c>
      <c r="CI87" s="68">
        <v>307</v>
      </c>
      <c r="CJ87" s="67">
        <v>201</v>
      </c>
      <c r="CK87" s="66">
        <v>38022</v>
      </c>
      <c r="CL87" s="70">
        <v>36296</v>
      </c>
      <c r="CM87" s="70">
        <v>1726</v>
      </c>
      <c r="CN87" s="70">
        <v>522</v>
      </c>
      <c r="CO87" s="70">
        <v>190</v>
      </c>
      <c r="CP87" s="70">
        <v>333</v>
      </c>
      <c r="CQ87" s="66">
        <v>0</v>
      </c>
      <c r="CR87" s="67">
        <v>0</v>
      </c>
    </row>
    <row r="88" spans="1:96" s="73" customFormat="1" ht="10.199999999999999" x14ac:dyDescent="0.2">
      <c r="A88" s="77" t="s">
        <v>35</v>
      </c>
      <c r="B88" s="78">
        <v>228522752</v>
      </c>
      <c r="C88" s="78">
        <v>590848</v>
      </c>
      <c r="D88" s="78">
        <v>464246</v>
      </c>
      <c r="E88" s="78">
        <v>52941</v>
      </c>
      <c r="F88" s="78">
        <v>73661</v>
      </c>
      <c r="G88" s="78">
        <v>9725171</v>
      </c>
      <c r="H88" s="79">
        <v>5977360</v>
      </c>
      <c r="I88" s="78">
        <v>3694638</v>
      </c>
      <c r="J88" s="79">
        <v>978255</v>
      </c>
      <c r="K88" s="78">
        <v>1221717</v>
      </c>
      <c r="L88" s="78">
        <v>1494665</v>
      </c>
      <c r="M88" s="78">
        <v>73562075</v>
      </c>
      <c r="N88" s="78">
        <v>4949943</v>
      </c>
      <c r="O88" s="79">
        <v>4345096</v>
      </c>
      <c r="P88" s="78">
        <v>145208</v>
      </c>
      <c r="Q88" s="79">
        <v>269321</v>
      </c>
      <c r="R88" s="79">
        <v>55078</v>
      </c>
      <c r="S88" s="78">
        <v>100433</v>
      </c>
      <c r="T88" s="78">
        <v>1718176</v>
      </c>
      <c r="U88" s="78">
        <v>320834</v>
      </c>
      <c r="V88" s="78">
        <v>12449281</v>
      </c>
      <c r="W88" s="78">
        <v>15813419</v>
      </c>
      <c r="X88" s="79">
        <v>436175</v>
      </c>
      <c r="Y88" s="79">
        <v>651736</v>
      </c>
      <c r="Z88" s="79">
        <v>3983555</v>
      </c>
      <c r="AA88" s="78">
        <v>2773914</v>
      </c>
      <c r="AB88" s="78">
        <v>5520072</v>
      </c>
      <c r="AC88" s="78">
        <v>9689596</v>
      </c>
      <c r="AD88" s="78">
        <v>1598645</v>
      </c>
      <c r="AE88" s="78">
        <v>5576715</v>
      </c>
      <c r="AF88" s="79">
        <v>135394</v>
      </c>
      <c r="AG88" s="79">
        <v>3029484</v>
      </c>
      <c r="AH88" s="79">
        <v>39519248</v>
      </c>
      <c r="AI88" s="78">
        <v>19439013</v>
      </c>
      <c r="AJ88" s="78">
        <v>7417806</v>
      </c>
      <c r="AK88" s="78">
        <v>12007159</v>
      </c>
      <c r="AL88" s="78">
        <v>14048</v>
      </c>
      <c r="AM88" s="78">
        <v>20080235</v>
      </c>
      <c r="AN88" s="78">
        <v>872670</v>
      </c>
      <c r="AO88" s="79">
        <v>354617</v>
      </c>
      <c r="AP88" s="78">
        <v>915663</v>
      </c>
      <c r="AQ88" s="79">
        <v>2395086</v>
      </c>
      <c r="AR88" s="78">
        <v>1907476</v>
      </c>
      <c r="AS88" s="78">
        <v>3020315</v>
      </c>
      <c r="AT88" s="78">
        <v>166550</v>
      </c>
      <c r="AU88" s="78">
        <v>2062763</v>
      </c>
      <c r="AV88" s="78">
        <v>238240</v>
      </c>
      <c r="AW88" s="78">
        <v>6861712</v>
      </c>
      <c r="AX88" s="79">
        <v>326502</v>
      </c>
      <c r="AY88" s="78">
        <v>958640</v>
      </c>
      <c r="AZ88" s="79">
        <v>0</v>
      </c>
      <c r="BA88" s="78">
        <v>5454120</v>
      </c>
      <c r="BB88" s="78">
        <v>2447760</v>
      </c>
      <c r="BC88" s="78">
        <v>578357</v>
      </c>
      <c r="BD88" s="78">
        <v>41258</v>
      </c>
      <c r="BE88" s="78">
        <v>222210</v>
      </c>
      <c r="BF88" s="78">
        <v>2065034</v>
      </c>
      <c r="BG88" s="79">
        <v>99501</v>
      </c>
      <c r="BH88" s="78">
        <v>17016477</v>
      </c>
      <c r="BI88" s="79">
        <v>4791145</v>
      </c>
      <c r="BJ88" s="78">
        <v>1060141</v>
      </c>
      <c r="BK88" s="78">
        <v>2720247</v>
      </c>
      <c r="BL88" s="78">
        <v>5752257</v>
      </c>
      <c r="BM88" s="78">
        <v>1233537</v>
      </c>
      <c r="BN88" s="79">
        <v>1459151</v>
      </c>
      <c r="BO88" s="79">
        <v>36530941</v>
      </c>
      <c r="BP88" s="78">
        <v>8127899</v>
      </c>
      <c r="BQ88" s="78">
        <v>6800261</v>
      </c>
      <c r="BR88" s="79">
        <v>19426891</v>
      </c>
      <c r="BS88" s="79">
        <v>2175890</v>
      </c>
      <c r="BT88" s="78">
        <v>2274461</v>
      </c>
      <c r="BU88" s="78">
        <v>1705509</v>
      </c>
      <c r="BV88" s="78">
        <v>378816</v>
      </c>
      <c r="BW88" s="79">
        <v>190136</v>
      </c>
      <c r="BX88" s="78">
        <v>6395013</v>
      </c>
      <c r="BY88" s="78">
        <v>17918740</v>
      </c>
      <c r="BZ88" s="79">
        <v>2699712</v>
      </c>
      <c r="CA88" s="78">
        <v>1961813</v>
      </c>
      <c r="CB88" s="79">
        <v>737900</v>
      </c>
      <c r="CC88" s="79">
        <v>738274</v>
      </c>
      <c r="CD88" s="78">
        <v>2821802</v>
      </c>
      <c r="CE88" s="78">
        <v>945522</v>
      </c>
      <c r="CF88" s="78">
        <v>880539</v>
      </c>
      <c r="CG88" s="78">
        <v>995741</v>
      </c>
      <c r="CH88" s="78">
        <v>548959</v>
      </c>
      <c r="CI88" s="79">
        <v>288151</v>
      </c>
      <c r="CJ88" s="79">
        <v>260808</v>
      </c>
      <c r="CK88" s="78">
        <v>2370040</v>
      </c>
      <c r="CL88" s="78">
        <v>803159</v>
      </c>
      <c r="CM88" s="78">
        <v>1566881</v>
      </c>
      <c r="CN88" s="78">
        <v>679830</v>
      </c>
      <c r="CO88" s="78">
        <v>251334</v>
      </c>
      <c r="CP88" s="78">
        <v>362689</v>
      </c>
      <c r="CQ88" s="78">
        <v>65807</v>
      </c>
      <c r="CR88" s="80">
        <v>5045</v>
      </c>
    </row>
    <row r="89" spans="1:96" s="6" customFormat="1" ht="7.8" x14ac:dyDescent="0.2">
      <c r="A89" s="5" t="s">
        <v>8</v>
      </c>
      <c r="C89" s="5"/>
      <c r="D89" s="5"/>
      <c r="E89" s="5"/>
      <c r="F89" s="5"/>
      <c r="G89" s="5"/>
      <c r="H89" s="5"/>
      <c r="I89" s="5"/>
      <c r="K89" s="5"/>
      <c r="L89" s="5"/>
      <c r="M89" s="5"/>
      <c r="N89" s="5"/>
      <c r="O89" s="5"/>
      <c r="P89" s="5"/>
      <c r="Q89" s="5"/>
      <c r="S89" s="5"/>
      <c r="T89" s="5"/>
      <c r="U89" s="5"/>
      <c r="V89" s="5"/>
      <c r="W89" s="5"/>
      <c r="X89" s="5"/>
      <c r="Y89" s="5"/>
      <c r="AA89" s="5"/>
      <c r="AB89" s="5"/>
      <c r="AC89" s="5"/>
      <c r="AD89" s="5"/>
      <c r="AE89" s="5"/>
      <c r="AF89" s="5"/>
      <c r="AG89" s="5"/>
      <c r="AI89" s="5"/>
      <c r="AJ89" s="5"/>
      <c r="AK89" s="5"/>
      <c r="AL89" s="5"/>
      <c r="AM89" s="5"/>
      <c r="AN89" s="5"/>
      <c r="AO89" s="5"/>
      <c r="AP89" s="5"/>
      <c r="AR89" s="5"/>
      <c r="AS89" s="5"/>
      <c r="AT89" s="5"/>
      <c r="AU89" s="5"/>
      <c r="AV89" s="5"/>
      <c r="AW89" s="5"/>
      <c r="AX89" s="5"/>
      <c r="AY89" s="5"/>
      <c r="BA89" s="5"/>
      <c r="BB89" s="5"/>
      <c r="BC89" s="5"/>
      <c r="BD89" s="5"/>
      <c r="BE89" s="5"/>
      <c r="BF89" s="5"/>
      <c r="BH89" s="5"/>
      <c r="BI89" s="5"/>
      <c r="BJ89" s="5"/>
      <c r="BK89" s="5"/>
      <c r="BL89" s="5"/>
      <c r="BM89" s="5"/>
      <c r="BP89" s="5"/>
      <c r="BQ89" s="5"/>
      <c r="BR89" s="5"/>
      <c r="BT89" s="5"/>
      <c r="BU89" s="5"/>
      <c r="BV89" s="5"/>
      <c r="BX89" s="5"/>
      <c r="BY89" s="5"/>
      <c r="BZ89" s="5"/>
      <c r="CA89" s="5"/>
    </row>
  </sheetData>
  <mergeCells count="15">
    <mergeCell ref="BA6:BG6"/>
    <mergeCell ref="BH6:BN6"/>
    <mergeCell ref="CN6:CQ6"/>
    <mergeCell ref="BZ6:CB6"/>
    <mergeCell ref="CD6:CG6"/>
    <mergeCell ref="CH6:CJ6"/>
    <mergeCell ref="BO6:BS6"/>
    <mergeCell ref="CK6:CM6"/>
    <mergeCell ref="BT6:BW6"/>
    <mergeCell ref="C6:F6"/>
    <mergeCell ref="I6:L6"/>
    <mergeCell ref="M6:AG6"/>
    <mergeCell ref="AI6:AZ6"/>
    <mergeCell ref="AM7:AY7"/>
    <mergeCell ref="AI7:AL7"/>
  </mergeCells>
  <phoneticPr fontId="14" type="noConversion"/>
  <printOptions gridLinesSet="0"/>
  <pageMargins left="0.6" right="0.375" top="0.5" bottom="0.5" header="0.5" footer="0.375"/>
  <pageSetup scale="88" firstPageNumber="83" fitToWidth="0" orientation="portrait" useFirstPageNumber="1" r:id="rId1"/>
  <headerFooter alignWithMargins="0">
    <oddHeader>&amp;C&amp;"Arial,Bold"&amp;12 2008 Corporation Returns - Basic Tables</oddHeader>
    <oddFooter>&amp;C&amp;"Arial,Bold"&amp;P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CRTAB6</vt:lpstr>
      <vt:lpstr>CRTAB6!all</vt:lpstr>
      <vt:lpstr>CRTAB6!Area_stampa</vt:lpstr>
      <vt:lpstr>CRTAB6!column_headings</vt:lpstr>
      <vt:lpstr>CRTAB6!column_numbers</vt:lpstr>
      <vt:lpstr>CRTAB6!data</vt:lpstr>
      <vt:lpstr>CRTAB6!SelectArea</vt:lpstr>
      <vt:lpstr>CRTAB6!spanners</vt:lpstr>
      <vt:lpstr>CRTAB6!stub_lines</vt:lpstr>
      <vt:lpstr>CRTAB6!titles</vt:lpstr>
      <vt:lpstr>CRTAB6!totals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2011-01-04T15:24:15Z</cp:lastPrinted>
  <dcterms:created xsi:type="dcterms:W3CDTF">1998-06-24T17:47:17Z</dcterms:created>
  <dcterms:modified xsi:type="dcterms:W3CDTF">2026-03-04T14:32:26Z</dcterms:modified>
</cp:coreProperties>
</file>